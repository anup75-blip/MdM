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45" windowWidth="15480" windowHeight="8130" tabRatio="738" firstSheet="0" activeTab="2" autoFilterDateGrouping="1"/>
  </bookViews>
  <sheets>
    <sheet name="Sheet1" sheetId="1" state="visible" r:id="rId1"/>
    <sheet name="Sheet2" sheetId="2" state="visible" r:id="rId2"/>
    <sheet name="Bill  6 To 8" sheetId="3" state="visible" r:id="rId3"/>
    <sheet name="Bill  5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_);[Red]\(0.000\)"/>
    <numFmt numFmtId="166" formatCode="m/d/yy;@"/>
    <numFmt numFmtId="167" formatCode="0.000;[Red]0.000"/>
    <numFmt numFmtId="168" formatCode="0.00;[Red]0.00"/>
    <numFmt numFmtId="169" formatCode="0.0"/>
    <numFmt numFmtId="170" formatCode="0.0000;[Red]0.0000"/>
  </numFmts>
  <fonts count="42">
    <font>
      <name val="Calibri"/>
      <family val="2"/>
      <color theme="1"/>
      <sz val="11"/>
      <scheme val="minor"/>
    </font>
    <font>
      <name val="Kruti Dev 010"/>
      <color theme="1"/>
      <sz val="11"/>
    </font>
    <font>
      <name val="Kruti Dev 010"/>
      <b val="1"/>
      <color theme="1"/>
      <sz val="16"/>
    </font>
    <font>
      <name val="Kruti Dev 010"/>
      <b val="1"/>
      <color theme="1"/>
      <sz val="11"/>
    </font>
    <font>
      <name val="Kruti Dev 010"/>
      <b val="1"/>
      <color theme="1"/>
      <sz val="12"/>
    </font>
    <font>
      <name val="Kruti Dev 010"/>
      <b val="1"/>
      <color theme="1"/>
      <sz val="22"/>
    </font>
    <font>
      <name val="Times New Roman"/>
      <family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1"/>
    </font>
    <font>
      <name val="Kruti Dev 010"/>
      <color theme="1"/>
      <sz val="28"/>
    </font>
    <font>
      <name val="Kruti Dev 010"/>
      <b val="1"/>
      <color theme="1"/>
      <sz val="28"/>
    </font>
    <font>
      <name val="Kruti Dev 010"/>
      <color theme="1"/>
      <sz val="16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12"/>
    </font>
    <font>
      <name val="Kruti Dev 010"/>
      <b val="1"/>
      <color theme="1"/>
      <sz val="24"/>
    </font>
    <font>
      <name val="Calibri"/>
      <family val="2"/>
      <b val="1"/>
      <color theme="1"/>
      <sz val="24"/>
    </font>
    <font>
      <name val="Kruti Dev 010"/>
      <color theme="1"/>
      <sz val="20"/>
    </font>
    <font>
      <name val="Kruti Dev 010"/>
      <color theme="1"/>
      <sz val="18"/>
    </font>
    <font>
      <name val="Kruti Dev 010"/>
      <b val="1"/>
      <color theme="1"/>
      <sz val="20"/>
    </font>
    <font>
      <name val="Kruti Dev 010"/>
      <b val="1"/>
      <color theme="1"/>
      <sz val="18"/>
    </font>
    <font>
      <name val="Times New Roman"/>
      <family val="1"/>
      <b val="1"/>
      <color theme="1"/>
      <sz val="14"/>
    </font>
    <font>
      <name val="Times New Roman"/>
      <family val="1"/>
      <color theme="1"/>
      <sz val="16"/>
    </font>
    <font>
      <name val="Kruti Dev 010"/>
      <color theme="1"/>
      <sz val="14"/>
    </font>
    <font>
      <name val="Kruti Dev 010"/>
      <b val="1"/>
      <color theme="1"/>
      <sz val="14"/>
    </font>
    <font>
      <name val="Arial"/>
      <family val="2"/>
      <b val="1"/>
      <color theme="1"/>
      <sz val="14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4"/>
      <scheme val="minor"/>
    </font>
    <font>
      <name val="Times New Roman"/>
      <family val="1"/>
      <b val="1"/>
      <color theme="1"/>
      <sz val="16"/>
    </font>
    <font>
      <name val="Times New Roman"/>
      <family val="1"/>
      <color theme="1"/>
      <sz val="14"/>
    </font>
    <font>
      <name val="Arial"/>
      <family val="2"/>
      <color theme="1"/>
      <sz val="14"/>
    </font>
    <font>
      <name val="Arial Unicode MS"/>
      <family val="2"/>
      <color theme="1"/>
      <sz val="14"/>
    </font>
    <font>
      <name val="Kruti Dev 010"/>
      <color theme="1"/>
      <sz val="10"/>
    </font>
    <font>
      <name val="Calibri"/>
      <family val="2"/>
      <color theme="1"/>
      <sz val="10"/>
      <scheme val="minor"/>
    </font>
    <font>
      <name val="Times New Roman"/>
      <family val="1"/>
      <b val="1"/>
      <color theme="1"/>
      <sz val="20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theme="1"/>
      <sz val="9"/>
    </font>
    <font>
      <name val="Calibri"/>
      <family val="2"/>
      <color theme="1"/>
      <sz val="16"/>
      <scheme val="minor"/>
    </font>
    <font>
      <name val="Arial"/>
      <family val="2"/>
      <b val="1"/>
      <color theme="1"/>
      <sz val="12"/>
    </font>
    <font>
      <name val="Kruti Dev 010"/>
      <color theme="1"/>
      <sz val="12"/>
    </font>
    <font>
      <name val="Kruti Dev 010"/>
      <b val="1"/>
      <color theme="1"/>
      <sz val="10"/>
    </font>
    <font>
      <name val="Calibri"/>
      <family val="2"/>
      <b val="1"/>
      <color theme="1"/>
      <sz val="12"/>
      <scheme val="minor"/>
    </font>
    <font>
      <name val="Kruti Dev 010"/>
      <b val="1"/>
      <color theme="1"/>
      <sz val="15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/>
    </xf>
    <xf numFmtId="14" fontId="13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9" fillId="0" borderId="0" pivotButton="0" quotePrefix="0" xfId="0"/>
    <xf numFmtId="0" fontId="17" fillId="0" borderId="0" pivotButton="0" quotePrefix="0" xfId="0"/>
    <xf numFmtId="0" fontId="2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23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7" fontId="21" fillId="0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/>
    </xf>
    <xf numFmtId="0" fontId="2" fillId="0" borderId="1" pivotButton="0" quotePrefix="0" xfId="0"/>
    <xf numFmtId="0" fontId="11" fillId="0" borderId="1" pivotButton="0" quotePrefix="0" xfId="0"/>
    <xf numFmtId="168" fontId="21" fillId="0" borderId="1" applyAlignment="1" pivotButton="0" quotePrefix="0" xfId="0">
      <alignment horizontal="center" vertical="center"/>
    </xf>
    <xf numFmtId="168" fontId="27" fillId="0" borderId="1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7" fillId="0" borderId="1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6" fillId="0" borderId="0" pivotButton="0" quotePrefix="0" xfId="0"/>
    <xf numFmtId="0" fontId="3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/>
    </xf>
    <xf numFmtId="164" fontId="33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  <xf numFmtId="0" fontId="26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6" fillId="0" borderId="4" applyAlignment="1" pivotButton="0" quotePrefix="0" xfId="0">
      <alignment vertical="top" wrapText="1"/>
    </xf>
    <xf numFmtId="0" fontId="6" fillId="0" borderId="7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164" fontId="35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36" fillId="0" borderId="1" pivotButton="0" quotePrefix="0" xfId="0"/>
    <xf numFmtId="0" fontId="21" fillId="0" borderId="1" applyAlignment="1" pivotButton="0" quotePrefix="0" xfId="0">
      <alignment vertical="center" wrapText="1"/>
    </xf>
    <xf numFmtId="2" fontId="21" fillId="0" borderId="1" applyAlignment="1" pivotButton="0" quotePrefix="0" xfId="0">
      <alignment vertical="center" wrapText="1"/>
    </xf>
    <xf numFmtId="0" fontId="28" fillId="0" borderId="1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20" fillId="0" borderId="4" applyAlignment="1" pivotButton="0" quotePrefix="0" xfId="0">
      <alignment horizontal="left" vertical="center"/>
    </xf>
    <xf numFmtId="169" fontId="21" fillId="0" borderId="2" applyAlignment="1" pivotButton="0" quotePrefix="0" xfId="0">
      <alignment vertical="center"/>
    </xf>
    <xf numFmtId="169" fontId="21" fillId="0" borderId="1" applyAlignment="1" pivotButton="0" quotePrefix="0" xfId="0">
      <alignment vertical="center"/>
    </xf>
    <xf numFmtId="2" fontId="21" fillId="0" borderId="1" applyAlignment="1" pivotButton="0" quotePrefix="0" xfId="0">
      <alignment vertical="center"/>
    </xf>
    <xf numFmtId="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 wrapText="1"/>
    </xf>
    <xf numFmtId="2" fontId="20" fillId="0" borderId="1" applyAlignment="1" pivotButton="0" quotePrefix="0" xfId="0">
      <alignment horizontal="center" vertical="center"/>
    </xf>
    <xf numFmtId="0" fontId="28" fillId="0" borderId="4" applyAlignment="1" pivotButton="0" quotePrefix="0" xfId="0">
      <alignment vertical="center"/>
    </xf>
    <xf numFmtId="2" fontId="28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vertical="center"/>
    </xf>
    <xf numFmtId="2" fontId="21" fillId="0" borderId="3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/>
    </xf>
    <xf numFmtId="2" fontId="26" fillId="0" borderId="1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2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center" vertical="center"/>
    </xf>
    <xf numFmtId="169" fontId="28" fillId="0" borderId="2" applyAlignment="1" pivotButton="0" quotePrefix="0" xfId="0">
      <alignment vertical="center"/>
    </xf>
    <xf numFmtId="2" fontId="26" fillId="0" borderId="3" applyAlignment="1" pivotButton="0" quotePrefix="0" xfId="0">
      <alignment horizontal="center" vertical="center"/>
    </xf>
    <xf numFmtId="169" fontId="28" fillId="0" borderId="1" applyAlignment="1" pivotButton="0" quotePrefix="0" xfId="0">
      <alignment vertical="center"/>
    </xf>
    <xf numFmtId="0" fontId="6" fillId="0" borderId="0" pivotButton="0" quotePrefix="0" xfId="0"/>
    <xf numFmtId="0" fontId="31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70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49" fontId="13" fillId="0" borderId="1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9" fillId="0" borderId="2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1" fillId="0" borderId="2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20" fillId="0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 wrapText="1"/>
    </xf>
    <xf numFmtId="0" fontId="22" fillId="0" borderId="5" applyAlignment="1" pivotButton="0" quotePrefix="0" xfId="0">
      <alignment horizontal="left" vertical="center" wrapText="1"/>
    </xf>
    <xf numFmtId="0" fontId="22" fillId="0" borderId="3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164" fontId="21" fillId="0" borderId="2" applyAlignment="1" pivotButton="0" quotePrefix="0" xfId="0">
      <alignment horizontal="center" vertical="center"/>
    </xf>
    <xf numFmtId="164" fontId="21" fillId="0" borderId="5" applyAlignment="1" pivotButton="0" quotePrefix="0" xfId="0">
      <alignment horizontal="center" vertical="center"/>
    </xf>
    <xf numFmtId="164" fontId="21" fillId="0" borderId="3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22" fillId="0" borderId="5" applyAlignment="1" pivotButton="0" quotePrefix="0" xfId="0">
      <alignment horizontal="left" vertical="center"/>
    </xf>
    <xf numFmtId="0" fontId="22" fillId="0" borderId="3" applyAlignment="1" pivotButton="0" quotePrefix="0" xfId="0">
      <alignment horizontal="left" vertical="center"/>
    </xf>
    <xf numFmtId="0" fontId="20" fillId="0" borderId="5" applyAlignment="1" pivotButton="0" quotePrefix="0" xfId="0">
      <alignment horizontal="center" vertical="center"/>
    </xf>
    <xf numFmtId="0" fontId="27" fillId="0" borderId="4" applyAlignment="1" pivotButton="0" quotePrefix="0" xfId="0">
      <alignment horizontal="center" vertical="center"/>
    </xf>
    <xf numFmtId="0" fontId="27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40" fillId="0" borderId="2" applyAlignment="1" pivotButton="0" quotePrefix="0" xfId="0">
      <alignment horizontal="center" vertical="center"/>
    </xf>
    <xf numFmtId="0" fontId="40" fillId="0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center" vertical="center"/>
    </xf>
    <xf numFmtId="0" fontId="34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3" pivotButton="0" quotePrefix="0" xfId="0"/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22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0" fontId="4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J37"/>
  <sheetViews>
    <sheetView zoomScale="115" zoomScaleNormal="115" workbookViewId="0">
      <selection activeCell="C6" sqref="C6:H34"/>
    </sheetView>
  </sheetViews>
  <sheetFormatPr baseColWidth="8" defaultRowHeight="15"/>
  <cols>
    <col width="12.28515625" customWidth="1" style="1" min="1" max="1"/>
    <col width="22.42578125" customWidth="1" style="1" min="2" max="2"/>
    <col width="11.42578125" customWidth="1" style="1" min="3" max="3"/>
    <col width="6.42578125" customWidth="1" style="1" min="4" max="4"/>
    <col width="7.140625" customWidth="1" style="1" min="5" max="5"/>
    <col width="8.42578125" customWidth="1" style="1" min="6" max="6"/>
    <col width="10.5703125" customWidth="1" style="1" min="7" max="7"/>
    <col width="9.140625" customWidth="1" style="1" min="8" max="8"/>
    <col width="20" customWidth="1" style="1" min="9" max="9"/>
    <col width="16.85546875" customWidth="1" style="1" min="10" max="10"/>
    <col width="9.140625" customWidth="1" style="1" min="11" max="11"/>
    <col width="12" customWidth="1" style="1" min="12" max="12"/>
    <col width="9.140625" customWidth="1" style="1" min="13" max="13"/>
    <col width="12.85546875" customWidth="1" style="1" min="14" max="14"/>
    <col width="1.28515625" customWidth="1" style="1" min="15" max="15"/>
    <col width="3.85546875" customWidth="1" style="1" min="16" max="16"/>
    <col width="4.7109375" customWidth="1" style="1" min="17" max="17"/>
    <col width="11.140625" customWidth="1" style="1" min="18" max="18"/>
    <col width="9.42578125" customWidth="1" style="1" min="19" max="19"/>
    <col width="7.85546875" customWidth="1" style="1" min="20" max="20"/>
    <col width="8.5703125" customWidth="1" style="1" min="21" max="21"/>
    <col width="7" customWidth="1" style="1" min="22" max="22"/>
    <col width="8.140625" customWidth="1" style="1" min="23" max="24"/>
    <col width="8.42578125" customWidth="1" style="1" min="25" max="26"/>
    <col width="5.28515625" customWidth="1" style="1" min="27" max="27"/>
    <col width="11" customWidth="1" style="1" min="28" max="28"/>
    <col width="8.42578125" customWidth="1" style="1" min="29" max="29"/>
    <col width="9.42578125" customWidth="1" style="1" min="30" max="30"/>
    <col width="9" customWidth="1" style="1" min="31" max="31"/>
    <col width="7.5703125" customWidth="1" style="1" min="32" max="33"/>
    <col width="7.140625" customWidth="1" style="1" min="34" max="34"/>
    <col width="8.5703125" customWidth="1" style="1" min="35" max="35"/>
    <col width="8.7109375" customWidth="1" style="1" min="36" max="36"/>
    <col width="9.85546875" customWidth="1" style="1" min="37" max="37"/>
    <col width="1.5703125" customWidth="1" style="1" min="38" max="38"/>
    <col width="4.42578125" customWidth="1" style="1" min="39" max="39"/>
    <col width="11.42578125" customWidth="1" style="1" min="40" max="40"/>
    <col width="8" customWidth="1" style="1" min="41" max="41"/>
    <col width="7" customWidth="1" style="1" min="42" max="42"/>
    <col width="7.7109375" customWidth="1" style="1" min="43" max="43"/>
    <col width="6.85546875" customWidth="1" style="1" min="44" max="44"/>
    <col width="9.140625" customWidth="1" style="1" min="45" max="45"/>
    <col width="8" customWidth="1" style="1" min="46" max="46"/>
    <col width="8.5703125" customWidth="1" style="1" min="47" max="47"/>
    <col width="7.5703125" customWidth="1" style="1" min="48" max="48"/>
    <col width="5.7109375" customWidth="1" style="1" min="49" max="49"/>
    <col width="11.5703125" customWidth="1" style="1" min="50" max="50"/>
    <col width="8.42578125" customWidth="1" style="1" min="51" max="51"/>
    <col width="8" customWidth="1" style="1" min="52" max="52"/>
    <col width="8.85546875" customWidth="1" style="1" min="53" max="53"/>
    <col width="6.140625" customWidth="1" style="1" min="54" max="54"/>
    <col width="8.140625" customWidth="1" style="1" min="55" max="55"/>
    <col width="8.5703125" customWidth="1" style="1" min="56" max="56"/>
    <col width="8" customWidth="1" style="1" min="57" max="57"/>
    <col width="8.28515625" customWidth="1" style="1" min="58" max="58"/>
    <col width="9.140625" customWidth="1" style="1" min="59" max="59"/>
    <col width="4.85546875" customWidth="1" style="1" min="60" max="60"/>
    <col width="5.140625" customWidth="1" style="1" min="61" max="61"/>
    <col width="11" customWidth="1" style="1" min="62" max="62"/>
    <col width="8.42578125" customWidth="1" style="1" min="63" max="63"/>
    <col width="7.7109375" customWidth="1" style="1" min="64" max="64"/>
    <col width="8.28515625" customWidth="1" style="1" min="65" max="65"/>
    <col width="7.5703125" customWidth="1" style="1" min="66" max="66"/>
    <col width="7.140625" customWidth="1" style="1" min="67" max="67"/>
    <col width="8" customWidth="1" style="1" min="68" max="68"/>
    <col width="8.7109375" customWidth="1" style="1" min="69" max="69"/>
    <col width="8.85546875" customWidth="1" style="1" min="70" max="70"/>
    <col width="5.42578125" customWidth="1" style="1" min="71" max="71"/>
    <col width="11.28515625" customWidth="1" style="1" min="72" max="72"/>
    <col width="8.28515625" customWidth="1" style="1" min="73" max="73"/>
    <col width="7.7109375" customWidth="1" style="1" min="74" max="74"/>
    <col width="8.28515625" customWidth="1" style="1" min="75" max="75"/>
    <col width="6.7109375" customWidth="1" style="1" min="76" max="76"/>
    <col width="8.5703125" customWidth="1" style="1" min="77" max="77"/>
    <col width="7.42578125" customWidth="1" style="1" min="78" max="78"/>
    <col width="8.140625" customWidth="1" style="1" min="79" max="79"/>
    <col width="7.42578125" customWidth="1" style="1" min="80" max="80"/>
    <col width="9.140625" customWidth="1" style="1" min="81" max="81"/>
    <col width="2.5703125" customWidth="1" style="1" min="82" max="82"/>
    <col width="3.85546875" customWidth="1" style="1" min="83" max="83"/>
    <col width="11.42578125" customWidth="1" style="1" min="84" max="84"/>
    <col width="9" customWidth="1" style="1" min="85" max="85"/>
    <col width="7.7109375" customWidth="1" style="1" min="86" max="86"/>
    <col width="7.28515625" customWidth="1" style="1" min="87" max="87"/>
    <col width="6.85546875" customWidth="1" style="1" min="88" max="88"/>
    <col width="9.140625" customWidth="1" style="1" min="89" max="89"/>
    <col width="7.7109375" customWidth="1" style="1" min="90" max="90"/>
    <col width="9.140625" customWidth="1" style="1" min="91" max="91"/>
    <col width="8" customWidth="1" style="1" min="92" max="92"/>
    <col width="5" customWidth="1" style="1" min="93" max="93"/>
    <col width="11.5703125" customWidth="1" style="1" min="94" max="94"/>
    <col width="8.7109375" customWidth="1" style="1" min="95" max="95"/>
    <col width="7.42578125" customWidth="1" style="1" min="96" max="96"/>
    <col width="9.140625" customWidth="1" style="1" min="97" max="97"/>
    <col width="6.140625" customWidth="1" style="1" min="98" max="98"/>
    <col width="8.140625" customWidth="1" style="1" min="99" max="99"/>
    <col width="7.7109375" customWidth="1" style="1" min="100" max="101"/>
    <col width="8" customWidth="1" style="1" min="102" max="102"/>
    <col width="8.28515625" customWidth="1" style="1" min="103" max="103"/>
    <col width="1.5703125" customWidth="1" style="1" min="104" max="104"/>
    <col width="4.85546875" customWidth="1" style="1" min="105" max="105"/>
    <col width="11.42578125" customWidth="1" style="1" min="106" max="106"/>
    <col width="8.42578125" customWidth="1" style="1" min="107" max="107"/>
    <col width="8" customWidth="1" style="1" min="108" max="108"/>
    <col width="7.42578125" customWidth="1" style="1" min="109" max="109"/>
    <col width="7.7109375" customWidth="1" style="1" min="110" max="110"/>
    <col width="8.140625" customWidth="1" style="1" min="111" max="111"/>
    <col width="7.5703125" customWidth="1" style="1" min="112" max="112"/>
    <col width="8.28515625" customWidth="1" style="1" min="113" max="113"/>
    <col width="8.140625" customWidth="1" style="1" min="114" max="114"/>
    <col width="6.7109375" customWidth="1" style="1" min="115" max="115"/>
    <col width="11.7109375" customWidth="1" style="1" min="116" max="116"/>
    <col width="9.140625" customWidth="1" style="1" min="117" max="117"/>
    <col width="7.140625" customWidth="1" style="1" min="118" max="118"/>
    <col width="7.7109375" customWidth="1" style="1" min="119" max="119"/>
    <col width="7.85546875" customWidth="1" style="1" min="120" max="120"/>
    <col width="8" customWidth="1" style="1" min="121" max="122"/>
    <col width="8.140625" customWidth="1" style="1" min="123" max="124"/>
    <col width="9.140625" customWidth="1" style="1" min="125" max="125"/>
    <col width="2" customWidth="1" style="1" min="126" max="126"/>
    <col width="3.85546875" customWidth="1" style="1" min="127" max="127"/>
    <col width="11.28515625" customWidth="1" style="1" min="128" max="128"/>
    <col width="9.140625" customWidth="1" style="1" min="129" max="129"/>
    <col width="7.140625" customWidth="1" style="1" min="130" max="130"/>
    <col width="8.28515625" customWidth="1" style="1" min="131" max="131"/>
    <col width="7" customWidth="1" style="1" min="132" max="132"/>
    <col width="7.5703125" customWidth="1" style="1" min="133" max="133"/>
    <col width="8.28515625" customWidth="1" style="1" min="134" max="134"/>
    <col width="7.85546875" customWidth="1" style="1" min="135" max="135"/>
    <col width="9.140625" customWidth="1" style="1" min="136" max="136"/>
    <col width="5.85546875" customWidth="1" style="1" min="137" max="137"/>
    <col width="11.85546875" customWidth="1" style="1" min="138" max="138"/>
    <col width="8" customWidth="1" style="1" min="139" max="139"/>
    <col width="7.140625" customWidth="1" style="1" min="140" max="140"/>
    <col width="7.85546875" customWidth="1" style="1" min="141" max="141"/>
    <col width="6.85546875" customWidth="1" style="1" min="142" max="142"/>
    <col width="7.5703125" customWidth="1" style="1" min="143" max="143"/>
    <col width="7.85546875" customWidth="1" style="1" min="144" max="144"/>
    <col width="8.140625" customWidth="1" style="1" min="145" max="145"/>
    <col width="8.85546875" customWidth="1" style="1" min="146" max="146"/>
    <col width="10" customWidth="1" style="1" min="147" max="147"/>
    <col width="2.5703125" customWidth="1" style="1" min="148" max="148"/>
    <col width="4.7109375" customWidth="1" style="1" min="149" max="149"/>
    <col width="11.28515625" customWidth="1" style="1" min="150" max="150"/>
    <col width="8.42578125" customWidth="1" style="1" min="151" max="151"/>
    <col width="7.7109375" customWidth="1" style="1" min="152" max="152"/>
    <col width="8.140625" customWidth="1" style="1" min="153" max="153"/>
    <col width="7.28515625" customWidth="1" style="1" min="154" max="154"/>
    <col width="8.5703125" customWidth="1" style="1" min="155" max="155"/>
    <col width="7.7109375" customWidth="1" style="1" min="156" max="156"/>
    <col width="8.7109375" customWidth="1" style="1" min="157" max="157"/>
    <col width="7.5703125" customWidth="1" style="1" min="158" max="158"/>
    <col width="5.28515625" customWidth="1" style="1" min="159" max="159"/>
    <col width="12.140625" customWidth="1" style="1" min="160" max="160"/>
    <col width="8" customWidth="1" style="1" min="161" max="162"/>
    <col width="9.28515625" customWidth="1" style="1" min="163" max="163"/>
    <col width="6.5703125" customWidth="1" style="1" min="164" max="164"/>
    <col width="8.42578125" customWidth="1" style="1" min="165" max="166"/>
    <col width="7.28515625" customWidth="1" style="1" min="167" max="168"/>
    <col width="8.7109375" customWidth="1" style="1" min="169" max="169"/>
    <col width="2.5703125" customWidth="1" style="1" min="170" max="170"/>
    <col width="4.5703125" customWidth="1" style="1" min="171" max="171"/>
    <col width="12" customWidth="1" style="1" min="172" max="172"/>
    <col width="8.42578125" customWidth="1" style="1" min="173" max="173"/>
    <col width="9" customWidth="1" style="1" min="174" max="174"/>
    <col width="7.5703125" customWidth="1" style="1" min="175" max="175"/>
    <col width="7.28515625" customWidth="1" style="1" min="176" max="176"/>
    <col width="7" customWidth="1" style="1" min="177" max="177"/>
    <col width="7.42578125" customWidth="1" style="1" min="178" max="178"/>
    <col width="8.42578125" customWidth="1" style="1" min="179" max="179"/>
    <col width="8.28515625" customWidth="1" style="1" min="180" max="180"/>
    <col width="5.140625" customWidth="1" style="1" min="181" max="181"/>
    <col width="11.28515625" customWidth="1" style="1" min="182" max="182"/>
    <col width="9.140625" customWidth="1" style="1" min="183" max="183"/>
    <col width="7.5703125" customWidth="1" style="1" min="184" max="184"/>
    <col width="8.42578125" customWidth="1" style="1" min="185" max="185"/>
    <col width="6.7109375" customWidth="1" style="1" min="186" max="186"/>
    <col width="7.42578125" customWidth="1" style="1" min="187" max="187"/>
    <col width="7.7109375" customWidth="1" style="1" min="188" max="188"/>
    <col width="7.5703125" customWidth="1" style="1" min="189" max="189"/>
    <col width="8.5703125" customWidth="1" style="1" min="190" max="190"/>
    <col width="9.140625" customWidth="1" style="1" min="191" max="191"/>
    <col width="2.85546875" customWidth="1" style="1" min="192" max="192"/>
    <col width="6.140625" customWidth="1" style="1" min="193" max="193"/>
    <col width="11.140625" customWidth="1" style="1" min="194" max="194"/>
    <col width="8.7109375" customWidth="1" style="1" min="195" max="195"/>
    <col width="8" customWidth="1" style="1" min="196" max="196"/>
    <col width="8.140625" customWidth="1" style="1" min="197" max="197"/>
    <col width="6.42578125" customWidth="1" style="1" min="198" max="198"/>
    <col width="8.5703125" customWidth="1" style="1" min="199" max="199"/>
    <col width="8.140625" customWidth="1" style="1" min="200" max="200"/>
    <col width="8.5703125" customWidth="1" style="1" min="201" max="201"/>
    <col width="7.140625" customWidth="1" style="1" min="202" max="202"/>
    <col width="5.7109375" customWidth="1" style="1" min="203" max="203"/>
    <col width="11.85546875" customWidth="1" style="1" min="204" max="204"/>
    <col width="8.140625" customWidth="1" style="1" min="205" max="205"/>
    <col width="7.42578125" customWidth="1" style="1" min="206" max="206"/>
    <col width="7.5703125" customWidth="1" style="1" min="207" max="207"/>
    <col width="6.42578125" customWidth="1" style="1" min="208" max="208"/>
    <col width="8.5703125" customWidth="1" style="1" min="209" max="209"/>
    <col width="7.42578125" customWidth="1" style="1" min="210" max="210"/>
    <col width="8.5703125" customWidth="1" style="1" min="211" max="211"/>
    <col width="7.85546875" customWidth="1" style="1" min="212" max="212"/>
    <col width="9.140625" customWidth="1" style="1" min="213" max="213"/>
    <col width="2.28515625" customWidth="1" style="1" min="214" max="214"/>
    <col width="4" customWidth="1" style="1" min="215" max="215"/>
    <col width="11.42578125" customWidth="1" style="1" min="216" max="216"/>
    <col width="4.7109375" customWidth="1" style="1" min="217" max="217"/>
    <col width="6.85546875" customWidth="1" style="1" min="218" max="218"/>
    <col width="7.5703125" customWidth="1" style="1" min="219" max="219"/>
    <col width="6.42578125" customWidth="1" style="1" min="220" max="220"/>
    <col width="7.28515625" customWidth="1" style="1" min="221" max="221"/>
    <col width="5.5703125" customWidth="1" style="1" min="222" max="222"/>
    <col width="6.140625" customWidth="1" style="1" min="223" max="223"/>
    <col width="7.140625" customWidth="1" style="1" min="224" max="224"/>
    <col width="8.28515625" customWidth="1" style="1" min="225" max="225"/>
    <col width="2.85546875" customWidth="1" style="1" min="226" max="226"/>
    <col width="10.85546875" customWidth="1" style="1" min="227" max="227"/>
    <col width="5.140625" customWidth="1" style="1" min="228" max="228"/>
    <col width="6.28515625" customWidth="1" style="1" min="229" max="229"/>
    <col width="7.140625" customWidth="1" style="1" min="230" max="230"/>
    <col width="6.42578125" customWidth="1" style="1" min="231" max="231"/>
    <col width="7.7109375" customWidth="1" style="1" min="232" max="232"/>
    <col width="6" customWidth="1" style="1" min="233" max="233"/>
    <col width="7.7109375" customWidth="1" style="1" min="234" max="234"/>
    <col width="7.5703125" customWidth="1" style="1" min="235" max="235"/>
    <col width="7.140625" customWidth="1" style="1" min="236" max="236"/>
    <col width="8.28515625" customWidth="1" style="1" min="237" max="237"/>
    <col width="6.85546875" customWidth="1" style="1" min="238" max="238"/>
    <col width="7.85546875" customWidth="1" style="1" min="239" max="239"/>
    <col width="1.7109375" customWidth="1" style="1" min="240" max="240"/>
    <col width="11.140625" customWidth="1" style="1" min="241" max="241"/>
    <col width="10.5703125" customWidth="1" style="1" min="242" max="242"/>
    <col width="9.140625" customWidth="1" style="1" min="243" max="244"/>
    <col width="7.85546875" customWidth="1" style="1" min="245" max="245"/>
    <col width="9.140625" customWidth="1" style="1" min="246" max="246"/>
    <col width="7.7109375" customWidth="1" style="1" min="247" max="247"/>
    <col width="7.42578125" customWidth="1" style="1" min="248" max="248"/>
    <col width="5.28515625" customWidth="1" style="1" min="249" max="249"/>
    <col width="8.140625" customWidth="1" style="1" min="250" max="250"/>
    <col width="6.140625" customWidth="1" style="1" min="251" max="251"/>
    <col width="7.42578125" customWidth="1" style="1" min="252" max="252"/>
    <col width="11.42578125" customWidth="1" style="1" min="253" max="253"/>
    <col width="10" customWidth="1" style="1" min="254" max="254"/>
    <col width="9.140625" customWidth="1" style="1" min="255" max="255"/>
    <col width="10.42578125" customWidth="1" style="1" min="256" max="256"/>
    <col width="10.140625" customWidth="1" style="1" min="257" max="257"/>
    <col width="9.42578125" customWidth="1" style="1" min="258" max="258"/>
    <col width="9.5703125" customWidth="1" style="1" min="259" max="259"/>
    <col width="13.140625" customWidth="1" style="1" min="260" max="260"/>
    <col width="10.7109375" customWidth="1" style="1" min="261" max="261"/>
    <col width="10.42578125" customWidth="1" style="1" min="262" max="262"/>
    <col width="8.85546875" customWidth="1" style="1" min="263" max="263"/>
    <col width="7.85546875" customWidth="1" style="1" min="264" max="264"/>
    <col width="10" customWidth="1" style="1" min="265" max="265"/>
    <col width="8.85546875" customWidth="1" style="1" min="266" max="266"/>
    <col width="6.5703125" customWidth="1" style="1" min="267" max="269"/>
    <col width="9" customWidth="1" style="1" min="270" max="270"/>
    <col width="9.5703125" customWidth="1" style="1" min="271" max="271"/>
    <col width="9.85546875" customWidth="1" style="1" min="272" max="272"/>
    <col width="8.42578125" customWidth="1" style="1" min="273" max="273"/>
    <col width="8.140625" customWidth="1" style="1" min="274" max="274"/>
    <col width="11" customWidth="1" style="1" min="275" max="275"/>
    <col width="7.7109375" customWidth="1" style="1" min="276" max="276"/>
    <col width="8.5703125" customWidth="1" style="1" min="277" max="277"/>
    <col width="8.28515625" customWidth="1" style="1" min="278" max="278"/>
    <col width="15.28515625" customWidth="1" style="1" min="279" max="279"/>
    <col width="18.140625" customWidth="1" style="1" min="280" max="280"/>
    <col width="25.28515625" customWidth="1" style="1" min="281" max="281"/>
    <col width="26.140625" customWidth="1" style="1" min="282" max="282"/>
    <col width="24.140625" customWidth="1" style="1" min="283" max="283"/>
    <col width="27.140625" customWidth="1" style="1" min="284" max="284"/>
    <col width="20" customWidth="1" style="1" min="285" max="285"/>
    <col width="13.5703125" customWidth="1" style="1" min="286" max="286"/>
    <col width="5.5703125" customWidth="1" style="1" min="287" max="287"/>
    <col width="15.5703125" customWidth="1" style="1" min="288" max="288"/>
    <col width="13.28515625" customWidth="1" style="1" min="289" max="289"/>
    <col width="13.140625" customWidth="1" style="1" min="290" max="290"/>
    <col width="13.85546875" customWidth="1" style="1" min="291" max="291"/>
    <col width="16.28515625" customWidth="1" style="1" min="292" max="292"/>
    <col width="18.140625" customWidth="1" style="1" min="293" max="293"/>
    <col width="15" customWidth="1" style="1" min="294" max="294"/>
    <col width="12.5703125" bestFit="1" customWidth="1" style="1" min="295" max="295"/>
    <col width="9.140625" customWidth="1" style="1" min="296" max="16384"/>
  </cols>
  <sheetData>
    <row r="1" ht="23.25" customHeight="1">
      <c r="D1" s="133" t="n"/>
      <c r="E1" s="179" t="n"/>
      <c r="F1" s="179" t="n"/>
      <c r="G1" s="180" t="n"/>
      <c r="R1" s="4" t="inlineStr">
        <is>
          <t xml:space="preserve">                            'kkys; iks"k.k ;kstuk lu ¼2025&amp; 2026½</t>
        </is>
      </c>
      <c r="AE1" s="65" t="inlineStr">
        <is>
          <t>vkWDVkcj 2025</t>
        </is>
      </c>
    </row>
    <row r="2" ht="33" customHeight="1">
      <c r="I2" s="133" t="n"/>
      <c r="J2" s="179" t="n"/>
      <c r="K2" s="179" t="n"/>
      <c r="L2" s="179" t="n"/>
      <c r="M2" s="179" t="n"/>
      <c r="N2" s="180" t="n"/>
      <c r="Q2" s="16" t="inlineStr">
        <is>
          <t xml:space="preserve">             'kkGsps uko &amp;% bafnjkckbZ dU;k fo|ky; f'kjkGk -rk- ft- vejkorh</t>
        </is>
      </c>
      <c r="JT2" s="181" t="inlineStr">
        <is>
          <t xml:space="preserve">  2026 pk lkBk f'kYyd oxZ 5 oh rs 8 oh </t>
        </is>
      </c>
      <c r="JU2" s="179" t="n"/>
      <c r="JV2" s="179" t="n"/>
      <c r="JW2" s="179" t="n"/>
      <c r="JX2" s="179" t="n"/>
      <c r="JY2" s="180" t="n"/>
    </row>
    <row r="3" ht="28.5" customHeight="1">
      <c r="A3" s="57" t="n"/>
      <c r="B3" s="57" t="n"/>
      <c r="C3" s="140" t="inlineStr">
        <is>
          <t>pkyq iVla[;k</t>
        </is>
      </c>
      <c r="D3" s="179" t="n"/>
      <c r="E3" s="179" t="n"/>
      <c r="F3" s="179" t="n"/>
      <c r="G3" s="179" t="n"/>
      <c r="H3" s="180" t="n"/>
      <c r="I3" s="182" t="inlineStr">
        <is>
          <t xml:space="preserve">  'kk- iks- vkgkj fooj.k ,fizy 2026</t>
        </is>
      </c>
      <c r="J3" s="179" t="n"/>
      <c r="K3" s="179" t="n"/>
      <c r="L3" s="179" t="n"/>
      <c r="M3" s="179" t="n"/>
      <c r="N3" s="180" t="n"/>
      <c r="Q3" s="183" t="inlineStr">
        <is>
          <t xml:space="preserve">                        oxZ 5 oh   ¼rkanqG½</t>
        </is>
      </c>
      <c r="R3" s="179" t="n"/>
      <c r="S3" s="179" t="n"/>
      <c r="T3" s="179" t="n"/>
      <c r="U3" s="179" t="n"/>
      <c r="V3" s="179" t="n"/>
      <c r="W3" s="179" t="n"/>
      <c r="X3" s="179" t="n"/>
      <c r="Y3" s="179" t="n"/>
      <c r="Z3" s="180" t="n"/>
      <c r="AA3" s="17" t="n"/>
      <c r="AB3" s="183" t="inlineStr">
        <is>
          <t xml:space="preserve">                        oxZ 6 oh rs 8 oh   ¼rkanqG½</t>
        </is>
      </c>
      <c r="AC3" s="179" t="n"/>
      <c r="AD3" s="179" t="n"/>
      <c r="AE3" s="179" t="n"/>
      <c r="AF3" s="179" t="n"/>
      <c r="AG3" s="179" t="n"/>
      <c r="AH3" s="179" t="n"/>
      <c r="AI3" s="179" t="n"/>
      <c r="AJ3" s="179" t="n"/>
      <c r="AK3" s="180" t="n"/>
      <c r="AM3" s="183" t="inlineStr">
        <is>
          <t xml:space="preserve">                        oxZ 5 oh   ¼gjcjk½</t>
        </is>
      </c>
      <c r="AN3" s="179" t="n"/>
      <c r="AO3" s="179" t="n"/>
      <c r="AP3" s="179" t="n"/>
      <c r="AQ3" s="179" t="n"/>
      <c r="AR3" s="179" t="n"/>
      <c r="AS3" s="179" t="n"/>
      <c r="AT3" s="179" t="n"/>
      <c r="AU3" s="179" t="n"/>
      <c r="AV3" s="180" t="n"/>
      <c r="AW3" s="17" t="n"/>
      <c r="AX3" s="183" t="inlineStr">
        <is>
          <t xml:space="preserve">                        oxZ 6 rs 8 oh   ¼gjcjk½</t>
        </is>
      </c>
      <c r="AY3" s="179" t="n"/>
      <c r="AZ3" s="179" t="n"/>
      <c r="BA3" s="179" t="n"/>
      <c r="BB3" s="179" t="n"/>
      <c r="BC3" s="179" t="n"/>
      <c r="BD3" s="179" t="n"/>
      <c r="BE3" s="179" t="n"/>
      <c r="BF3" s="179" t="n"/>
      <c r="BG3" s="180" t="n"/>
      <c r="BI3" s="183" t="inlineStr">
        <is>
          <t xml:space="preserve">                        oxZ 5 oh   ¼elqj MkG½</t>
        </is>
      </c>
      <c r="BJ3" s="179" t="n"/>
      <c r="BK3" s="179" t="n"/>
      <c r="BL3" s="179" t="n"/>
      <c r="BM3" s="179" t="n"/>
      <c r="BN3" s="179" t="n"/>
      <c r="BO3" s="179" t="n"/>
      <c r="BP3" s="179" t="n"/>
      <c r="BQ3" s="179" t="n"/>
      <c r="BR3" s="180" t="n"/>
      <c r="BS3" s="17" t="n"/>
      <c r="BT3" s="183" t="inlineStr">
        <is>
          <t xml:space="preserve">                        oxZ 6 oh rs 8 oh   ¼elqj MkG½</t>
        </is>
      </c>
      <c r="BU3" s="179" t="n"/>
      <c r="BV3" s="179" t="n"/>
      <c r="BW3" s="179" t="n"/>
      <c r="BX3" s="179" t="n"/>
      <c r="BY3" s="179" t="n"/>
      <c r="BZ3" s="179" t="n"/>
      <c r="CA3" s="179" t="n"/>
      <c r="CB3" s="179" t="n"/>
      <c r="CC3" s="180" t="n"/>
      <c r="CE3" s="183" t="inlineStr">
        <is>
          <t xml:space="preserve">                        oxZ 5 oh   ¼ eVdh½ poGh</t>
        </is>
      </c>
      <c r="CF3" s="179" t="n"/>
      <c r="CG3" s="179" t="n"/>
      <c r="CH3" s="179" t="n"/>
      <c r="CI3" s="179" t="n"/>
      <c r="CJ3" s="179" t="n"/>
      <c r="CK3" s="179" t="n"/>
      <c r="CL3" s="179" t="n"/>
      <c r="CM3" s="179" t="n"/>
      <c r="CN3" s="180" t="n"/>
      <c r="CO3" s="17" t="n"/>
      <c r="CP3" s="183" t="inlineStr">
        <is>
          <t xml:space="preserve">                        oxZ 6 oh rs 8 oh   ¼eVdh½ poGh</t>
        </is>
      </c>
      <c r="CQ3" s="179" t="n"/>
      <c r="CR3" s="179" t="n"/>
      <c r="CS3" s="179" t="n"/>
      <c r="CT3" s="179" t="n"/>
      <c r="CU3" s="179" t="n"/>
      <c r="CV3" s="179" t="n"/>
      <c r="CW3" s="179" t="n"/>
      <c r="CX3" s="179" t="n"/>
      <c r="CY3" s="180" t="n"/>
      <c r="DA3" s="183" t="inlineStr">
        <is>
          <t xml:space="preserve">                        oxZ 5 oh   ¼eksgjh½</t>
        </is>
      </c>
      <c r="DB3" s="179" t="n"/>
      <c r="DC3" s="179" t="n"/>
      <c r="DD3" s="179" t="n"/>
      <c r="DE3" s="179" t="n"/>
      <c r="DF3" s="179" t="n"/>
      <c r="DG3" s="179" t="n"/>
      <c r="DH3" s="179" t="n"/>
      <c r="DI3" s="179" t="n"/>
      <c r="DJ3" s="180" t="n"/>
      <c r="DK3" s="17" t="n"/>
      <c r="DL3" s="183" t="inlineStr">
        <is>
          <t xml:space="preserve">                        oxZ 6 oh rs 8 oh   ¼eksgjh½</t>
        </is>
      </c>
      <c r="DM3" s="179" t="n"/>
      <c r="DN3" s="179" t="n"/>
      <c r="DO3" s="179" t="n"/>
      <c r="DP3" s="179" t="n"/>
      <c r="DQ3" s="179" t="n"/>
      <c r="DR3" s="179" t="n"/>
      <c r="DS3" s="179" t="n"/>
      <c r="DT3" s="179" t="n"/>
      <c r="DU3" s="180" t="n"/>
      <c r="DW3" s="183" t="inlineStr">
        <is>
          <t xml:space="preserve">                        oxZ 5 oh   ¼gGn½</t>
        </is>
      </c>
      <c r="DX3" s="179" t="n"/>
      <c r="DY3" s="179" t="n"/>
      <c r="DZ3" s="179" t="n"/>
      <c r="EA3" s="179" t="n"/>
      <c r="EB3" s="179" t="n"/>
      <c r="EC3" s="179" t="n"/>
      <c r="ED3" s="179" t="n"/>
      <c r="EE3" s="179" t="n"/>
      <c r="EF3" s="180" t="n"/>
      <c r="EG3" s="20" t="n"/>
      <c r="EH3" s="183" t="inlineStr">
        <is>
          <t xml:space="preserve">                        oxZ 6 oh rs 8 oh   ¼gGn½</t>
        </is>
      </c>
      <c r="EI3" s="179" t="n"/>
      <c r="EJ3" s="179" t="n"/>
      <c r="EK3" s="179" t="n"/>
      <c r="EL3" s="179" t="n"/>
      <c r="EM3" s="179" t="n"/>
      <c r="EN3" s="179" t="n"/>
      <c r="EO3" s="179" t="n"/>
      <c r="EP3" s="179" t="n"/>
      <c r="EQ3" s="180" t="n"/>
      <c r="ES3" s="183" t="inlineStr">
        <is>
          <t xml:space="preserve">                        oxZ 5 oh   ¼dkank elkyk½</t>
        </is>
      </c>
      <c r="ET3" s="179" t="n"/>
      <c r="EU3" s="179" t="n"/>
      <c r="EV3" s="179" t="n"/>
      <c r="EW3" s="179" t="n"/>
      <c r="EX3" s="179" t="n"/>
      <c r="EY3" s="179" t="n"/>
      <c r="EZ3" s="179" t="n"/>
      <c r="FA3" s="179" t="n"/>
      <c r="FB3" s="180" t="n"/>
      <c r="FC3" s="17" t="n"/>
      <c r="FD3" s="183" t="inlineStr">
        <is>
          <t xml:space="preserve">                        oxZ 6 oh rs 8 oh   ¼dkank elkyk½</t>
        </is>
      </c>
      <c r="FE3" s="179" t="n"/>
      <c r="FF3" s="179" t="n"/>
      <c r="FG3" s="179" t="n"/>
      <c r="FH3" s="179" t="n"/>
      <c r="FI3" s="179" t="n"/>
      <c r="FJ3" s="179" t="n"/>
      <c r="FK3" s="179" t="n"/>
      <c r="FL3" s="179" t="n"/>
      <c r="FM3" s="180" t="n"/>
      <c r="FO3" s="183" t="inlineStr">
        <is>
          <t xml:space="preserve">                        oxZ 5 oh   ¼feB½</t>
        </is>
      </c>
      <c r="FP3" s="179" t="n"/>
      <c r="FQ3" s="179" t="n"/>
      <c r="FR3" s="179" t="n"/>
      <c r="FS3" s="179" t="n"/>
      <c r="FT3" s="179" t="n"/>
      <c r="FU3" s="179" t="n"/>
      <c r="FV3" s="179" t="n"/>
      <c r="FW3" s="179" t="n"/>
      <c r="FX3" s="180" t="n"/>
      <c r="FY3" s="17" t="n"/>
      <c r="FZ3" s="183" t="inlineStr">
        <is>
          <t xml:space="preserve">                        oxZ 6 oh rs 8 oh   ¼feB½</t>
        </is>
      </c>
      <c r="GA3" s="179" t="n"/>
      <c r="GB3" s="179" t="n"/>
      <c r="GC3" s="179" t="n"/>
      <c r="GD3" s="179" t="n"/>
      <c r="GE3" s="179" t="n"/>
      <c r="GF3" s="179" t="n"/>
      <c r="GG3" s="179" t="n"/>
      <c r="GH3" s="179" t="n"/>
      <c r="GI3" s="180" t="n"/>
      <c r="GK3" s="183" t="inlineStr">
        <is>
          <t xml:space="preserve">                        oxZ 5 oh   ¼rsy½</t>
        </is>
      </c>
      <c r="GL3" s="179" t="n"/>
      <c r="GM3" s="179" t="n"/>
      <c r="GN3" s="179" t="n"/>
      <c r="GO3" s="179" t="n"/>
      <c r="GP3" s="179" t="n"/>
      <c r="GQ3" s="179" t="n"/>
      <c r="GR3" s="179" t="n"/>
      <c r="GS3" s="179" t="n"/>
      <c r="GT3" s="180" t="n"/>
      <c r="GU3" s="17" t="n"/>
      <c r="GV3" s="183" t="inlineStr">
        <is>
          <t xml:space="preserve">                        oxZ 6 oh rs 8 oh   ¼rsy½</t>
        </is>
      </c>
      <c r="GW3" s="179" t="n"/>
      <c r="GX3" s="179" t="n"/>
      <c r="GY3" s="179" t="n"/>
      <c r="GZ3" s="179" t="n"/>
      <c r="HA3" s="179" t="n"/>
      <c r="HB3" s="179" t="n"/>
      <c r="HC3" s="179" t="n"/>
      <c r="HD3" s="179" t="n"/>
      <c r="HE3" s="180" t="n"/>
      <c r="HG3" s="183" t="inlineStr">
        <is>
          <t xml:space="preserve">                        oxZ 5 oh  iqjd vkgkj</t>
        </is>
      </c>
      <c r="HH3" s="179" t="n"/>
      <c r="HI3" s="179" t="n"/>
      <c r="HJ3" s="179" t="n"/>
      <c r="HK3" s="179" t="n"/>
      <c r="HL3" s="179" t="n"/>
      <c r="HM3" s="179" t="n"/>
      <c r="HN3" s="179" t="n"/>
      <c r="HO3" s="179" t="n"/>
      <c r="HP3" s="179" t="n"/>
      <c r="HQ3" s="180" t="n"/>
      <c r="HR3" s="17" t="n"/>
      <c r="HS3" s="183" t="inlineStr">
        <is>
          <t xml:space="preserve">                        oxZ 6 oh rs 8 oh   iqjd vkgkj</t>
        </is>
      </c>
      <c r="HT3" s="179" t="n"/>
      <c r="HU3" s="179" t="n"/>
      <c r="HV3" s="179" t="n"/>
      <c r="HW3" s="179" t="n"/>
      <c r="HX3" s="179" t="n"/>
      <c r="HY3" s="179" t="n"/>
      <c r="HZ3" s="179" t="n"/>
      <c r="IA3" s="179" t="n"/>
      <c r="IB3" s="180" t="n"/>
      <c r="IC3" s="133" t="n"/>
      <c r="ID3" s="179" t="n"/>
      <c r="IE3" s="180" t="n"/>
      <c r="IF3" s="103" t="n"/>
      <c r="IG3" s="103" t="n"/>
      <c r="IH3" s="103" t="n"/>
      <c r="II3" s="103" t="n"/>
      <c r="IJ3" s="103" t="n"/>
      <c r="IK3" s="103" t="n"/>
      <c r="IL3" s="103" t="n"/>
      <c r="IM3" s="103" t="n"/>
      <c r="IN3" s="103" t="n"/>
      <c r="IO3" s="103" t="n"/>
      <c r="IP3" s="115" t="n"/>
      <c r="IQ3" s="103" t="inlineStr">
        <is>
          <t xml:space="preserve"> 5 to </t>
        </is>
      </c>
      <c r="IR3" s="103" t="n"/>
      <c r="IS3" s="103" t="n"/>
      <c r="IT3" s="103" t="n"/>
      <c r="IU3" s="103" t="n"/>
      <c r="IV3" s="103" t="n"/>
      <c r="IW3" s="103" t="n"/>
      <c r="IX3" s="103" t="n"/>
      <c r="IY3" s="103" t="n"/>
      <c r="IZ3" s="103" t="n"/>
      <c r="JA3" s="103" t="n"/>
      <c r="JB3" s="103" t="n"/>
      <c r="JC3" s="103" t="n"/>
      <c r="JD3" s="103" t="n"/>
      <c r="JE3" s="103" t="n"/>
      <c r="JF3" s="103" t="n"/>
      <c r="JG3" s="103" t="n"/>
      <c r="JH3" s="103" t="n"/>
      <c r="JI3" s="115" t="n"/>
      <c r="JJ3" s="103" t="n"/>
      <c r="JK3" s="103" t="inlineStr">
        <is>
          <t>6 To 8</t>
        </is>
      </c>
      <c r="JL3" s="103" t="n"/>
      <c r="JM3" s="103" t="n"/>
      <c r="JN3" s="103" t="n"/>
      <c r="JO3" s="103" t="n"/>
      <c r="JP3" s="103" t="n"/>
      <c r="JQ3" s="103" t="n"/>
      <c r="JR3" s="103" t="n"/>
      <c r="JS3" s="103" t="n"/>
      <c r="JT3" s="143" t="inlineStr">
        <is>
          <t xml:space="preserve">xks"kokjk </t>
        </is>
      </c>
      <c r="JU3" s="179" t="n"/>
      <c r="JV3" s="179" t="n"/>
      <c r="JW3" s="179" t="n"/>
      <c r="JX3" s="179" t="n"/>
      <c r="JY3" s="180" t="n"/>
      <c r="JZ3" s="103" t="n"/>
    </row>
    <row r="4" ht="63" customHeight="1">
      <c r="A4" s="64" t="inlineStr">
        <is>
          <t>okj</t>
        </is>
      </c>
      <c r="B4" s="30" t="inlineStr">
        <is>
          <t>fnukad</t>
        </is>
      </c>
      <c r="C4" s="5" t="inlineStr">
        <is>
          <t>oxZ 5 ok</t>
        </is>
      </c>
      <c r="D4" s="5" t="inlineStr">
        <is>
          <t xml:space="preserve">,dq.k  5 ok </t>
        </is>
      </c>
      <c r="E4" s="5" t="inlineStr">
        <is>
          <t>6 ok</t>
        </is>
      </c>
      <c r="F4" s="5" t="inlineStr">
        <is>
          <t xml:space="preserve">7 ok </t>
        </is>
      </c>
      <c r="G4" s="5" t="inlineStr">
        <is>
          <t>8 ok</t>
        </is>
      </c>
      <c r="H4" s="5" t="inlineStr">
        <is>
          <t xml:space="preserve">,dq.k  6 rs 8 </t>
        </is>
      </c>
      <c r="I4" s="64" t="inlineStr">
        <is>
          <t>okj</t>
        </is>
      </c>
      <c r="J4" s="30" t="inlineStr">
        <is>
          <t>fnukad</t>
        </is>
      </c>
      <c r="K4" s="62" t="inlineStr">
        <is>
          <t>oxZ 5 oh</t>
        </is>
      </c>
      <c r="L4" s="62" t="inlineStr">
        <is>
          <t xml:space="preserve">oxZ 6 oh </t>
        </is>
      </c>
      <c r="M4" s="30" t="inlineStr">
        <is>
          <t>,dq.k</t>
        </is>
      </c>
      <c r="N4" s="132" t="inlineStr">
        <is>
          <t>rif'ky</t>
        </is>
      </c>
      <c r="Q4" s="5" t="inlineStr">
        <is>
          <t>v- dz-</t>
        </is>
      </c>
      <c r="R4" s="140" t="inlineStr">
        <is>
          <t>efguk</t>
        </is>
      </c>
      <c r="S4" s="5" t="inlineStr">
        <is>
          <t>ekxhy f'kYyd</t>
        </is>
      </c>
      <c r="T4" s="5" t="inlineStr">
        <is>
          <t>iqjoBk/kkjd izkIr</t>
        </is>
      </c>
      <c r="U4" s="140" t="inlineStr">
        <is>
          <t>,dq.k</t>
        </is>
      </c>
      <c r="V4" s="5" t="inlineStr">
        <is>
          <t>fo|kF;hZ la[;k</t>
        </is>
      </c>
      <c r="W4" s="5" t="inlineStr">
        <is>
          <t>izfr fo|kF;hz xzWe</t>
        </is>
      </c>
      <c r="X4" s="5" t="inlineStr">
        <is>
          <t>f'kto.;kr vkysyk rkanqG</t>
        </is>
      </c>
      <c r="Y4" s="5" t="inlineStr">
        <is>
          <t>fnol v[ksj f'kYyd rkanqG</t>
        </is>
      </c>
      <c r="Z4" s="5" t="inlineStr">
        <is>
          <t>fuOoG f'kYyd rkanqG</t>
        </is>
      </c>
      <c r="AA4" s="5" t="inlineStr">
        <is>
          <t>v- dz-</t>
        </is>
      </c>
      <c r="AB4" s="140" t="inlineStr">
        <is>
          <t>efguk</t>
        </is>
      </c>
      <c r="AC4" s="5" t="inlineStr">
        <is>
          <t>ekxhy f'kYyd</t>
        </is>
      </c>
      <c r="AD4" s="5" t="inlineStr">
        <is>
          <t>iqjoBk/kkjd izkIr</t>
        </is>
      </c>
      <c r="AE4" s="140" t="inlineStr">
        <is>
          <t>,dq.k</t>
        </is>
      </c>
      <c r="AF4" s="5" t="inlineStr">
        <is>
          <t>fo|kF;hZ la[;k</t>
        </is>
      </c>
      <c r="AG4" s="5" t="inlineStr">
        <is>
          <t>izfr fo|kF;hz xzWe</t>
        </is>
      </c>
      <c r="AH4" s="5" t="inlineStr">
        <is>
          <t>f'kto.;kr vkysyk rkanqG</t>
        </is>
      </c>
      <c r="AI4" s="5" t="inlineStr">
        <is>
          <t>efgukc[ksj f'kYyd rkanqG</t>
        </is>
      </c>
      <c r="AJ4" s="5" t="inlineStr">
        <is>
          <t>fuOoG f'kYyd rkanqG</t>
        </is>
      </c>
      <c r="AK4" s="5" t="inlineStr">
        <is>
          <t>oxZ 5 oh rs 8 oh rkanqG f'kYyd</t>
        </is>
      </c>
      <c r="AM4" s="5" t="inlineStr">
        <is>
          <t>v- dz-</t>
        </is>
      </c>
      <c r="AN4" s="140" t="inlineStr">
        <is>
          <t>efguk</t>
        </is>
      </c>
      <c r="AO4" s="5" t="inlineStr">
        <is>
          <t>ekxhy f'kYyd</t>
        </is>
      </c>
      <c r="AP4" s="5" t="inlineStr">
        <is>
          <t>iqjoBk/kkjd izkIr</t>
        </is>
      </c>
      <c r="AQ4" s="140" t="inlineStr">
        <is>
          <t>,dq.k</t>
        </is>
      </c>
      <c r="AR4" s="5" t="inlineStr">
        <is>
          <t>fo|kF;hZ la[;k</t>
        </is>
      </c>
      <c r="AS4" s="5" t="inlineStr">
        <is>
          <t>izfr fo|kF;hz xzWe</t>
        </is>
      </c>
      <c r="AT4" s="5" t="inlineStr">
        <is>
          <t>f'kto.;kr vkysyk okVk.kk</t>
        </is>
      </c>
      <c r="AU4" s="5" t="inlineStr">
        <is>
          <t>fnol v[ksj f'kYyd okVk.kk</t>
        </is>
      </c>
      <c r="AV4" s="5" t="inlineStr">
        <is>
          <t>fuOoG f'kYyd okVk.kk</t>
        </is>
      </c>
      <c r="AW4" s="5" t="inlineStr">
        <is>
          <t>v- dz-</t>
        </is>
      </c>
      <c r="AX4" s="140" t="inlineStr">
        <is>
          <t>efguk</t>
        </is>
      </c>
      <c r="AY4" s="5" t="inlineStr">
        <is>
          <t>ekxhy f'kYyd</t>
        </is>
      </c>
      <c r="AZ4" s="5" t="inlineStr">
        <is>
          <t>iqjoBk/kkjd izkIr</t>
        </is>
      </c>
      <c r="BA4" s="140" t="inlineStr">
        <is>
          <t>,dq.k</t>
        </is>
      </c>
      <c r="BB4" s="5" t="inlineStr">
        <is>
          <t>fo|kF;hZ la[;k</t>
        </is>
      </c>
      <c r="BC4" s="5" t="inlineStr">
        <is>
          <t>izfr fo|kF;hz xzWe</t>
        </is>
      </c>
      <c r="BD4" s="5" t="inlineStr">
        <is>
          <t>f'kto.;kr vkysyk okVk.kk</t>
        </is>
      </c>
      <c r="BE4" s="5" t="inlineStr">
        <is>
          <t>efgukc[ksj f'kYyd okVk.kk</t>
        </is>
      </c>
      <c r="BF4" s="5" t="inlineStr">
        <is>
          <t>fuOoG f'kYyd okVk.kk</t>
        </is>
      </c>
      <c r="BG4" s="5" t="inlineStr">
        <is>
          <t>oxZ 5 oh rs 8 oh okVk.kk f'kYyd</t>
        </is>
      </c>
      <c r="BI4" s="5" t="inlineStr">
        <is>
          <t>v- dz-</t>
        </is>
      </c>
      <c r="BJ4" s="140" t="inlineStr">
        <is>
          <t>efguk</t>
        </is>
      </c>
      <c r="BK4" s="5" t="inlineStr">
        <is>
          <t>ekxhy f'kYyd</t>
        </is>
      </c>
      <c r="BL4" s="5" t="inlineStr">
        <is>
          <t>iqjoBk/kkjd izkIr</t>
        </is>
      </c>
      <c r="BM4" s="140" t="inlineStr">
        <is>
          <t>,dq.k</t>
        </is>
      </c>
      <c r="BN4" s="5" t="inlineStr">
        <is>
          <t>fo|kF;hZ la[;k</t>
        </is>
      </c>
      <c r="BO4" s="5" t="inlineStr">
        <is>
          <t>izfr fo|kF;hz xzWe</t>
        </is>
      </c>
      <c r="BP4" s="5" t="inlineStr">
        <is>
          <t>f'kto.;kr vkysyk elqj MkG</t>
        </is>
      </c>
      <c r="BQ4" s="5" t="inlineStr">
        <is>
          <t>fnol v[ksj f'kYyd elqj MkG</t>
        </is>
      </c>
      <c r="BR4" s="5" t="inlineStr">
        <is>
          <t>fuOoG f'kYyd elqj MkG</t>
        </is>
      </c>
      <c r="BS4" s="5" t="inlineStr">
        <is>
          <t>v- dz-</t>
        </is>
      </c>
      <c r="BT4" s="140" t="inlineStr">
        <is>
          <t>efguk</t>
        </is>
      </c>
      <c r="BU4" s="5" t="inlineStr">
        <is>
          <t>ekxhy f'kYyd</t>
        </is>
      </c>
      <c r="BV4" s="5" t="inlineStr">
        <is>
          <t>iqjoBk/kkjd izkIr</t>
        </is>
      </c>
      <c r="BW4" s="140" t="inlineStr">
        <is>
          <t>,dq.k</t>
        </is>
      </c>
      <c r="BX4" s="5" t="inlineStr">
        <is>
          <t>fo|kF;hZ la[;k</t>
        </is>
      </c>
      <c r="BY4" s="5" t="inlineStr">
        <is>
          <t>izfr fo|kF;hz xzWe</t>
        </is>
      </c>
      <c r="BZ4" s="5" t="inlineStr">
        <is>
          <t>f'kto.;kr vkysyk elqj MkG</t>
        </is>
      </c>
      <c r="CA4" s="5" t="inlineStr">
        <is>
          <t>efgukc[ksj f'kYyd elqj MkG</t>
        </is>
      </c>
      <c r="CB4" s="5" t="inlineStr">
        <is>
          <t>fuOoG f'kYyd elqj MkG</t>
        </is>
      </c>
      <c r="CC4" s="5" t="inlineStr">
        <is>
          <t>oxZ 5 oh rs 8 oh elqj MkG f'kYyd</t>
        </is>
      </c>
      <c r="CE4" s="5" t="inlineStr">
        <is>
          <t>v- dz-</t>
        </is>
      </c>
      <c r="CF4" s="140" t="inlineStr">
        <is>
          <t>efguk</t>
        </is>
      </c>
      <c r="CG4" s="5" t="inlineStr">
        <is>
          <t>ekxhy f'kYyd</t>
        </is>
      </c>
      <c r="CH4" s="5" t="inlineStr">
        <is>
          <t>iqjoBk/kkjd izkIr</t>
        </is>
      </c>
      <c r="CI4" s="140" t="inlineStr">
        <is>
          <t>,dq.k</t>
        </is>
      </c>
      <c r="CJ4" s="5" t="inlineStr">
        <is>
          <t>fo|kF;hZ la[;k</t>
        </is>
      </c>
      <c r="CK4" s="5" t="inlineStr">
        <is>
          <t>izfr fo|kF;hz xzWe</t>
        </is>
      </c>
      <c r="CL4" s="5" t="inlineStr">
        <is>
          <t>f'kto.;kr vkysyk gjcjk</t>
        </is>
      </c>
      <c r="CM4" s="5" t="inlineStr">
        <is>
          <t>fnol v[ksj f'kYyd gjcjk</t>
        </is>
      </c>
      <c r="CN4" s="5" t="inlineStr">
        <is>
          <t>fuOoG f'kYyd gjcjk</t>
        </is>
      </c>
      <c r="CO4" s="5" t="inlineStr">
        <is>
          <t>v- dz-</t>
        </is>
      </c>
      <c r="CP4" s="140" t="inlineStr">
        <is>
          <t>efguk</t>
        </is>
      </c>
      <c r="CQ4" s="5" t="inlineStr">
        <is>
          <t>ekxhy f'kYyd</t>
        </is>
      </c>
      <c r="CR4" s="5" t="inlineStr">
        <is>
          <t>iqjoBk/kkjd izkIr</t>
        </is>
      </c>
      <c r="CS4" s="140" t="inlineStr">
        <is>
          <t>,dq.k</t>
        </is>
      </c>
      <c r="CT4" s="5" t="inlineStr">
        <is>
          <t>fo|kF;hZ la[;k</t>
        </is>
      </c>
      <c r="CU4" s="5" t="inlineStr">
        <is>
          <t>izfr fo|kF;hz xzWe</t>
        </is>
      </c>
      <c r="CV4" s="5" t="inlineStr">
        <is>
          <t>f'kto.;kr vkysyk gjcjk</t>
        </is>
      </c>
      <c r="CW4" s="5" t="inlineStr">
        <is>
          <t>efgukc[ksj f'kYyd gjcjk</t>
        </is>
      </c>
      <c r="CX4" s="5" t="inlineStr">
        <is>
          <t>fuOoG f'kYyd gjcjk</t>
        </is>
      </c>
      <c r="CY4" s="5" t="inlineStr">
        <is>
          <t>oxZ 5 oh rs 8 oh gjcjk f'kYyd</t>
        </is>
      </c>
      <c r="DA4" s="5" t="inlineStr">
        <is>
          <t>v- dz-</t>
        </is>
      </c>
      <c r="DB4" s="140" t="inlineStr">
        <is>
          <t>efguk</t>
        </is>
      </c>
      <c r="DC4" s="5" t="inlineStr">
        <is>
          <t>ekxhy f'kYyd</t>
        </is>
      </c>
      <c r="DD4" s="5" t="inlineStr">
        <is>
          <t>iqjoBk/kkjd izkIr</t>
        </is>
      </c>
      <c r="DE4" s="140" t="inlineStr">
        <is>
          <t>,dq.k</t>
        </is>
      </c>
      <c r="DF4" s="5" t="inlineStr">
        <is>
          <t>fo|kF;hZ la[;k</t>
        </is>
      </c>
      <c r="DG4" s="5" t="inlineStr">
        <is>
          <t>izfr fo|kF;hz xzWe</t>
        </is>
      </c>
      <c r="DH4" s="5" t="inlineStr">
        <is>
          <t>f'kto.;kr vkysyk eksgjh</t>
        </is>
      </c>
      <c r="DI4" s="5" t="inlineStr">
        <is>
          <t>fnol v[ksj f'kYyd eksgjh</t>
        </is>
      </c>
      <c r="DJ4" s="5" t="inlineStr">
        <is>
          <t>fuOoG f'kYyd  eksgjh</t>
        </is>
      </c>
      <c r="DK4" s="5" t="inlineStr">
        <is>
          <t>v- dz-</t>
        </is>
      </c>
      <c r="DL4" s="140" t="inlineStr">
        <is>
          <t>efguk</t>
        </is>
      </c>
      <c r="DM4" s="5" t="inlineStr">
        <is>
          <t>ekxhy f'kYyd</t>
        </is>
      </c>
      <c r="DN4" s="5" t="inlineStr">
        <is>
          <t>iqjoBk/kkjd izkIr</t>
        </is>
      </c>
      <c r="DO4" s="140" t="inlineStr">
        <is>
          <t>,dq.k</t>
        </is>
      </c>
      <c r="DP4" s="5" t="inlineStr">
        <is>
          <t>fo|kF;hZ la[;k</t>
        </is>
      </c>
      <c r="DQ4" s="5" t="inlineStr">
        <is>
          <t>izfr fo|kF;hz xzWe</t>
        </is>
      </c>
      <c r="DR4" s="5" t="inlineStr">
        <is>
          <t>f'kto.;kr vkysyk eksgjh</t>
        </is>
      </c>
      <c r="DS4" s="5" t="inlineStr">
        <is>
          <t>efgukc[ksj f'kYyd eksgjh</t>
        </is>
      </c>
      <c r="DT4" s="5" t="inlineStr">
        <is>
          <t>fuOoG f'kYyd eksgjh</t>
        </is>
      </c>
      <c r="DU4" s="5" t="inlineStr">
        <is>
          <t>oxZ 5 oh rs 8 oh eksgjh f'kYyd</t>
        </is>
      </c>
      <c r="DW4" s="5" t="inlineStr">
        <is>
          <t>v- dz-</t>
        </is>
      </c>
      <c r="DX4" s="140" t="inlineStr">
        <is>
          <t>efguk</t>
        </is>
      </c>
      <c r="DY4" s="5" t="inlineStr">
        <is>
          <t>ekxhy f'kYyd</t>
        </is>
      </c>
      <c r="DZ4" s="5" t="inlineStr">
        <is>
          <t>iqjoBk/kkjd izkIr</t>
        </is>
      </c>
      <c r="EA4" s="140" t="inlineStr">
        <is>
          <t>,dq.k</t>
        </is>
      </c>
      <c r="EB4" s="5" t="inlineStr">
        <is>
          <t>fo|kF;hZ la[;k</t>
        </is>
      </c>
      <c r="EC4" s="5" t="inlineStr">
        <is>
          <t>izfr fo|kF;hz xzWe</t>
        </is>
      </c>
      <c r="ED4" s="5" t="inlineStr">
        <is>
          <t>f'kto.;kr vkysyk gGn</t>
        </is>
      </c>
      <c r="EE4" s="5" t="inlineStr">
        <is>
          <t>fnol v[ksj f'kYyd gGn</t>
        </is>
      </c>
      <c r="EF4" s="5" t="inlineStr">
        <is>
          <t>fuOoG f'kYyd  gGn</t>
        </is>
      </c>
      <c r="EG4" s="5" t="inlineStr">
        <is>
          <t>v- dz-</t>
        </is>
      </c>
      <c r="EH4" s="140" t="inlineStr">
        <is>
          <t>efguk</t>
        </is>
      </c>
      <c r="EI4" s="5" t="inlineStr">
        <is>
          <t>ekxhy f'kYyd</t>
        </is>
      </c>
      <c r="EJ4" s="5" t="inlineStr">
        <is>
          <t>iqjoBk/kkjd izkIr</t>
        </is>
      </c>
      <c r="EK4" s="140" t="inlineStr">
        <is>
          <t>,dq.k</t>
        </is>
      </c>
      <c r="EL4" s="5" t="inlineStr">
        <is>
          <t>fo|kF;hZ la[;k</t>
        </is>
      </c>
      <c r="EM4" s="5" t="inlineStr">
        <is>
          <t>izfr fo|kF;hz xzWe</t>
        </is>
      </c>
      <c r="EN4" s="5" t="inlineStr">
        <is>
          <t>f'kto.;kr vkysyk gGn</t>
        </is>
      </c>
      <c r="EO4" s="5" t="inlineStr">
        <is>
          <t>efgukc[ksj f'kYyd gGn</t>
        </is>
      </c>
      <c r="EP4" s="5" t="inlineStr">
        <is>
          <t>fuOoG f'kYyd gGn</t>
        </is>
      </c>
      <c r="EQ4" s="5" t="inlineStr">
        <is>
          <t>oxZ 5 oh rs 8 oh gGn f'kYyd</t>
        </is>
      </c>
      <c r="ES4" s="5" t="inlineStr">
        <is>
          <t>v- dz-</t>
        </is>
      </c>
      <c r="ET4" s="140" t="inlineStr">
        <is>
          <t>efguk</t>
        </is>
      </c>
      <c r="EU4" s="5" t="inlineStr">
        <is>
          <t>ekxhy f'kYyd</t>
        </is>
      </c>
      <c r="EV4" s="5" t="inlineStr">
        <is>
          <t>iqjoBk/kkjd izkIr</t>
        </is>
      </c>
      <c r="EW4" s="140" t="inlineStr">
        <is>
          <t>,dq.k</t>
        </is>
      </c>
      <c r="EX4" s="5" t="inlineStr">
        <is>
          <t>fo|kF;hZ la[;k</t>
        </is>
      </c>
      <c r="EY4" s="5" t="inlineStr">
        <is>
          <t>izfr fo|kF;hz xzWe</t>
        </is>
      </c>
      <c r="EZ4" s="5" t="inlineStr">
        <is>
          <t>f'kto.;kr vkysyk dkank elkyk</t>
        </is>
      </c>
      <c r="FA4" s="5" t="inlineStr">
        <is>
          <t>fnol v[ksj f'kYyd dkank elkyk</t>
        </is>
      </c>
      <c r="FB4" s="5" t="inlineStr">
        <is>
          <t>fuOoG f'kYyd  dkank elkyk</t>
        </is>
      </c>
      <c r="FC4" s="5" t="inlineStr">
        <is>
          <t>v- dz-</t>
        </is>
      </c>
      <c r="FD4" s="140" t="inlineStr">
        <is>
          <t>efguk</t>
        </is>
      </c>
      <c r="FE4" s="5" t="inlineStr">
        <is>
          <t>ekxhy f'kYyd</t>
        </is>
      </c>
      <c r="FF4" s="5" t="inlineStr">
        <is>
          <t>iqjoBk/kkjd izkIr</t>
        </is>
      </c>
      <c r="FG4" s="140" t="inlineStr">
        <is>
          <t>,dq.k</t>
        </is>
      </c>
      <c r="FH4" s="5" t="inlineStr">
        <is>
          <t>fo|kF;hZ la[;k</t>
        </is>
      </c>
      <c r="FI4" s="5" t="inlineStr">
        <is>
          <t>izfr fo|kF;hz xzWe</t>
        </is>
      </c>
      <c r="FJ4" s="5" t="inlineStr">
        <is>
          <t>f'kto.;kr vkysyk dkank elkyk</t>
        </is>
      </c>
      <c r="FK4" s="5" t="inlineStr">
        <is>
          <t>fnol v[ksj f'kYyd dkank elkyk</t>
        </is>
      </c>
      <c r="FL4" s="5" t="inlineStr">
        <is>
          <t>fuOoG f'kYyd  dkank elkyk</t>
        </is>
      </c>
      <c r="FM4" s="5" t="inlineStr">
        <is>
          <t>oxZ 5 oh rs 8 oh dkank elkyk f'kYyd</t>
        </is>
      </c>
      <c r="FO4" s="5" t="inlineStr">
        <is>
          <t>v- dz-</t>
        </is>
      </c>
      <c r="FP4" s="140" t="inlineStr">
        <is>
          <t>efguk</t>
        </is>
      </c>
      <c r="FQ4" s="5" t="inlineStr">
        <is>
          <t>ekxhy f'kYyd</t>
        </is>
      </c>
      <c r="FR4" s="5" t="inlineStr">
        <is>
          <t>iqjoBk/kkjd izkIr</t>
        </is>
      </c>
      <c r="FS4" s="140" t="inlineStr">
        <is>
          <t>,dq.k</t>
        </is>
      </c>
      <c r="FT4" s="5" t="inlineStr">
        <is>
          <t>fo|kF;hZ la[;k</t>
        </is>
      </c>
      <c r="FU4" s="5" t="inlineStr">
        <is>
          <t>izfr fo|kF;hz xzWe</t>
        </is>
      </c>
      <c r="FV4" s="5" t="inlineStr">
        <is>
          <t>f'kto.;kr vkysyk feB</t>
        </is>
      </c>
      <c r="FW4" s="5" t="inlineStr">
        <is>
          <t>fnol v[ksj f'kYyd feB</t>
        </is>
      </c>
      <c r="FX4" s="5" t="inlineStr">
        <is>
          <t>fuOoG f'kYyd  feB</t>
        </is>
      </c>
      <c r="FY4" s="5" t="inlineStr">
        <is>
          <t>v- dz-</t>
        </is>
      </c>
      <c r="FZ4" s="140" t="inlineStr">
        <is>
          <t>efguk</t>
        </is>
      </c>
      <c r="GA4" s="5" t="inlineStr">
        <is>
          <t>ekxhy f'kYyd</t>
        </is>
      </c>
      <c r="GB4" s="5" t="inlineStr">
        <is>
          <t>iqjoBk/kkjd izkIr</t>
        </is>
      </c>
      <c r="GC4" s="140" t="inlineStr">
        <is>
          <t>,dq.k</t>
        </is>
      </c>
      <c r="GD4" s="5" t="inlineStr">
        <is>
          <t>fo|kF;hZ la[;k</t>
        </is>
      </c>
      <c r="GE4" s="5" t="inlineStr">
        <is>
          <t>izfr fo|kF;hz xzWe</t>
        </is>
      </c>
      <c r="GF4" s="5" t="inlineStr">
        <is>
          <t>f'kto.;kr vkysyk feB</t>
        </is>
      </c>
      <c r="GG4" s="5" t="inlineStr">
        <is>
          <t>fnol v[ksj f'kYyd feB</t>
        </is>
      </c>
      <c r="GH4" s="5" t="inlineStr">
        <is>
          <t>fuOoG f'kYyd  feB</t>
        </is>
      </c>
      <c r="GI4" s="5" t="inlineStr">
        <is>
          <t>oxZ 5 oh rs 8 oh feB f'kYyd</t>
        </is>
      </c>
      <c r="GK4" s="5" t="inlineStr">
        <is>
          <t>v- dz-</t>
        </is>
      </c>
      <c r="GL4" s="140" t="inlineStr">
        <is>
          <t>efguk</t>
        </is>
      </c>
      <c r="GM4" s="5" t="inlineStr">
        <is>
          <t>ekxhy f'kYyd</t>
        </is>
      </c>
      <c r="GN4" s="5" t="inlineStr">
        <is>
          <t>iqjoBk/kkjd izkIr</t>
        </is>
      </c>
      <c r="GO4" s="140" t="inlineStr">
        <is>
          <t>,dq.k</t>
        </is>
      </c>
      <c r="GP4" s="5" t="inlineStr">
        <is>
          <t>fo|kF;hZ la[;k</t>
        </is>
      </c>
      <c r="GQ4" s="5" t="inlineStr">
        <is>
          <t>izfr fo|kF;hz  5 xzWe</t>
        </is>
      </c>
      <c r="GR4" s="5" t="inlineStr">
        <is>
          <t>f'kto.;kr vkysyk rsy</t>
        </is>
      </c>
      <c r="GS4" s="5" t="inlineStr">
        <is>
          <t>fnol v[ksj f'kYyd rsy</t>
        </is>
      </c>
      <c r="GT4" s="5" t="inlineStr">
        <is>
          <t>fuOoG f'kYyd  rsy</t>
        </is>
      </c>
      <c r="GU4" s="5" t="inlineStr">
        <is>
          <t>v- dz-</t>
        </is>
      </c>
      <c r="GV4" s="140" t="inlineStr">
        <is>
          <t>efguk</t>
        </is>
      </c>
      <c r="GW4" s="5" t="inlineStr">
        <is>
          <t>ekxhy f'kYyd</t>
        </is>
      </c>
      <c r="GX4" s="5" t="inlineStr">
        <is>
          <t>iqjoBk/kkjd izkIr</t>
        </is>
      </c>
      <c r="GY4" s="140" t="inlineStr">
        <is>
          <t>,dq.k</t>
        </is>
      </c>
      <c r="GZ4" s="5" t="inlineStr">
        <is>
          <t>fo|kF;hZ la[;k</t>
        </is>
      </c>
      <c r="HA4" s="5" t="inlineStr">
        <is>
          <t xml:space="preserve">izfr fo|kF;hz    7.5 xzWe </t>
        </is>
      </c>
      <c r="HB4" s="5" t="inlineStr">
        <is>
          <t>f'kto.;kr vkysyk rsy</t>
        </is>
      </c>
      <c r="HC4" s="5" t="inlineStr">
        <is>
          <t>fnol v[ksj f'kYyd rsy</t>
        </is>
      </c>
      <c r="HD4" s="5" t="inlineStr">
        <is>
          <t>fuOoG f'kYyd  rsy</t>
        </is>
      </c>
      <c r="HE4" s="5" t="inlineStr">
        <is>
          <t>oxZ 5 oh rs 8 oh rsy f'kYyd</t>
        </is>
      </c>
      <c r="HG4" s="54" t="inlineStr">
        <is>
          <t>v- dz-</t>
        </is>
      </c>
      <c r="HH4" s="55" t="inlineStr">
        <is>
          <t>efguk</t>
        </is>
      </c>
      <c r="HI4" s="54" t="inlineStr">
        <is>
          <t>fo|kF;hZ la[;k</t>
        </is>
      </c>
      <c r="HJ4" s="54" t="inlineStr">
        <is>
          <t>Hkkftikyk [kpZ nj ¼ 0.79½</t>
        </is>
      </c>
      <c r="HK4" s="54" t="inlineStr">
        <is>
          <t>Hkkftikyk [kpZ jDde</t>
        </is>
      </c>
      <c r="HL4" s="54" t="inlineStr">
        <is>
          <t>ba/ku [kpZ nj ¼ 0.71½</t>
        </is>
      </c>
      <c r="HM4" s="54" t="inlineStr">
        <is>
          <t>ba/ku [kpZ jDde</t>
        </is>
      </c>
      <c r="HN4" s="54" t="inlineStr">
        <is>
          <t xml:space="preserve">iqjd vkgkj [kpZ nj ¼ 0.58½  </t>
        </is>
      </c>
      <c r="HO4" s="54" t="inlineStr">
        <is>
          <t xml:space="preserve">iqjd vkgkj [kpZ jDde </t>
        </is>
      </c>
      <c r="HP4" s="54" t="inlineStr">
        <is>
          <t>,dq.k [kpZ nj ¼ 2.08½</t>
        </is>
      </c>
      <c r="HQ4" s="54" t="inlineStr">
        <is>
          <t>,dq.k [kpZ jDde</t>
        </is>
      </c>
      <c r="HR4" s="54" t="inlineStr">
        <is>
          <t>v- dz-</t>
        </is>
      </c>
      <c r="HS4" s="55" t="inlineStr">
        <is>
          <t>efguk</t>
        </is>
      </c>
      <c r="HT4" s="54" t="inlineStr">
        <is>
          <t>fo|kF;hZ la[;k</t>
        </is>
      </c>
      <c r="HU4" s="54" t="inlineStr">
        <is>
          <t>Hkkftikyk [kpZ nj ¼1.25½</t>
        </is>
      </c>
      <c r="HV4" s="54" t="inlineStr">
        <is>
          <t>Hkkftikyk [kpZ jDde</t>
        </is>
      </c>
      <c r="HW4" s="54" t="inlineStr">
        <is>
          <t>ba/ku [kpZ nj ¼ 0.96½</t>
        </is>
      </c>
      <c r="HX4" s="54" t="inlineStr">
        <is>
          <t>ba/ku [kpZ jDde</t>
        </is>
      </c>
      <c r="HY4" s="54" t="inlineStr">
        <is>
          <t xml:space="preserve">iqjd vkgkj [kpZ nj ¼ 0.90½  </t>
        </is>
      </c>
      <c r="HZ4" s="54" t="inlineStr">
        <is>
          <t xml:space="preserve">iqjd vkgkj [kpZ jDde </t>
        </is>
      </c>
      <c r="IA4" s="54" t="inlineStr">
        <is>
          <t>,dq.k [kpZ nj ¼ 3.11½</t>
        </is>
      </c>
      <c r="IB4" s="54" t="inlineStr">
        <is>
          <t>,dq.k [kpZ jDde</t>
        </is>
      </c>
      <c r="IC4" s="54" t="inlineStr">
        <is>
          <t>oxZ 5 oh rs 8 oh Hkkftikyk [kpZ</t>
        </is>
      </c>
      <c r="ID4" s="54" t="inlineStr">
        <is>
          <t>oxZ 5 oh rs 8 oh ba/ku [kpZ</t>
        </is>
      </c>
      <c r="IE4" s="54" t="inlineStr">
        <is>
          <t xml:space="preserve">oxZ 5 oh rs 8 oh iqjd vkgkj [kpZ </t>
        </is>
      </c>
      <c r="IF4" s="103" t="n"/>
      <c r="IG4" s="110" t="inlineStr">
        <is>
          <t>fnukad</t>
        </is>
      </c>
      <c r="IH4" s="110" t="inlineStr">
        <is>
          <t>okj</t>
        </is>
      </c>
      <c r="II4" s="110" t="inlineStr">
        <is>
          <t>rif'ky</t>
        </is>
      </c>
      <c r="IJ4" s="111" t="inlineStr">
        <is>
          <t>pkyq efg.;kph iVla[;k</t>
        </is>
      </c>
      <c r="IK4" s="111" t="inlineStr">
        <is>
          <t xml:space="preserve">nSfud mifLFkrh@yHkkF;hZ </t>
        </is>
      </c>
      <c r="IL4" s="111" t="inlineStr">
        <is>
          <t>izR;{k ykHkkF;hZ @ rkVkaph la[;k</t>
        </is>
      </c>
      <c r="IM4" s="111" t="inlineStr">
        <is>
          <t>rkanqG</t>
        </is>
      </c>
      <c r="IN4" s="110" t="inlineStr">
        <is>
          <t>elwjnkG</t>
        </is>
      </c>
      <c r="IO4" s="110" t="inlineStr">
        <is>
          <t>okVk.kk</t>
        </is>
      </c>
      <c r="IP4" s="110" t="inlineStr">
        <is>
          <t>gjHkjk</t>
        </is>
      </c>
      <c r="IQ4" s="110" t="inlineStr">
        <is>
          <t>eksgjh</t>
        </is>
      </c>
      <c r="IR4" s="110" t="inlineStr">
        <is>
          <t>gGn</t>
        </is>
      </c>
      <c r="IS4" s="110" t="inlineStr">
        <is>
          <t>fejph ikoMj</t>
        </is>
      </c>
      <c r="IT4" s="110" t="inlineStr">
        <is>
          <t>lks;kchu rsy</t>
        </is>
      </c>
      <c r="IU4" s="110" t="inlineStr">
        <is>
          <t>feB</t>
        </is>
      </c>
      <c r="IV4" s="110" t="inlineStr">
        <is>
          <t>Hkkftikyk</t>
        </is>
      </c>
      <c r="IW4" s="110" t="inlineStr">
        <is>
          <t>iqjd vkgkj</t>
        </is>
      </c>
      <c r="IX4" s="111" t="inlineStr">
        <is>
          <t>ykHkkFkhZ uqlkj gks.kjk [kpZ</t>
        </is>
      </c>
      <c r="IY4" s="111" t="n"/>
      <c r="IZ4" s="110" t="inlineStr">
        <is>
          <t>fnukad</t>
        </is>
      </c>
      <c r="JA4" s="110" t="inlineStr">
        <is>
          <t>okj</t>
        </is>
      </c>
      <c r="JB4" s="110" t="inlineStr">
        <is>
          <t>rif'ky</t>
        </is>
      </c>
      <c r="JC4" s="111" t="inlineStr">
        <is>
          <t>pkyq efg.;kph iVla[;k</t>
        </is>
      </c>
      <c r="JD4" s="111" t="inlineStr">
        <is>
          <t xml:space="preserve">nSfud mifLFkrh@yHkkF;hZ </t>
        </is>
      </c>
      <c r="JE4" s="111" t="inlineStr">
        <is>
          <t>izR;{k ykHkkF;hZ @ rkVkaph la[;k</t>
        </is>
      </c>
      <c r="JF4" s="111" t="inlineStr">
        <is>
          <t>rkanqG</t>
        </is>
      </c>
      <c r="JG4" s="110" t="inlineStr">
        <is>
          <t>elwjnkG</t>
        </is>
      </c>
      <c r="JH4" s="110" t="inlineStr">
        <is>
          <t>okVk.kk</t>
        </is>
      </c>
      <c r="JI4" s="110" t="inlineStr">
        <is>
          <t>gjHkjk</t>
        </is>
      </c>
      <c r="JJ4" s="110" t="inlineStr">
        <is>
          <t>eksgjh</t>
        </is>
      </c>
      <c r="JK4" s="110" t="inlineStr">
        <is>
          <t>gGn</t>
        </is>
      </c>
      <c r="JL4" s="110" t="inlineStr">
        <is>
          <t>fejph ikoMj</t>
        </is>
      </c>
      <c r="JM4" s="110" t="inlineStr">
        <is>
          <t>lks;kchu rsy</t>
        </is>
      </c>
      <c r="JN4" s="110" t="inlineStr">
        <is>
          <t>feB</t>
        </is>
      </c>
      <c r="JO4" s="110" t="inlineStr">
        <is>
          <t>Hkkftikyk</t>
        </is>
      </c>
      <c r="JP4" s="110" t="inlineStr">
        <is>
          <t>iqjd vkgkj</t>
        </is>
      </c>
      <c r="JQ4" s="111" t="inlineStr">
        <is>
          <t>ykHkkFkhZ uqlkj gks.kjk [kpZ</t>
        </is>
      </c>
      <c r="JR4" s="110" t="n"/>
      <c r="JS4" s="104" t="n"/>
      <c r="JT4" s="32" t="inlineStr">
        <is>
          <t>v- Ø-</t>
        </is>
      </c>
      <c r="JU4" s="32" t="inlineStr">
        <is>
          <t>oLrqps uko</t>
        </is>
      </c>
      <c r="JV4" s="32" t="inlineStr">
        <is>
          <t>¼oxZ 5 ok ½ ekfxy f'kYyd oLrw ¼fd- xzW-½</t>
        </is>
      </c>
      <c r="JW4" s="32" t="inlineStr">
        <is>
          <t>¼oxZ 6 oh rs 8 oh ½ ekfxy f'kYyd oLrw ¼fd- xzW-½</t>
        </is>
      </c>
      <c r="JX4" s="32" t="inlineStr">
        <is>
          <t xml:space="preserve">,dq.k lkBk f'kYyd ¼ 5 oh oh rs 8 oh ½ </t>
        </is>
      </c>
      <c r="JY4" s="32" t="inlineStr">
        <is>
          <t xml:space="preserve"> 'ksjk </t>
        </is>
      </c>
      <c r="JZ4" s="103" t="n"/>
      <c r="KA4" s="32" t="inlineStr">
        <is>
          <t>v- Ø-</t>
        </is>
      </c>
      <c r="KB4" s="32" t="inlineStr">
        <is>
          <t>oLrqps uko</t>
        </is>
      </c>
      <c r="KC4" s="32" t="inlineStr">
        <is>
          <t>¼oxZ 5 ok ½ ekfxy f'kYyd oLrw ¼fd- xzW-½</t>
        </is>
      </c>
      <c r="KD4" s="32" t="inlineStr">
        <is>
          <t xml:space="preserve">izkIr lkfgR; </t>
        </is>
      </c>
      <c r="KE4" s="32" t="inlineStr">
        <is>
          <t>[kpZ rknqG</t>
        </is>
      </c>
      <c r="KF4" s="32" t="inlineStr">
        <is>
          <t>fo|kF;hZ la[;k</t>
        </is>
      </c>
      <c r="KG4" s="32" t="inlineStr">
        <is>
          <t>¼oxZ 6 oh rs 8 oh ½ ekfxy f'kYyd oLrw ¼fd- xzW-½</t>
        </is>
      </c>
      <c r="KH4" s="32" t="inlineStr">
        <is>
          <t xml:space="preserve">izkIr lkfgR; </t>
        </is>
      </c>
      <c r="KI4" s="32" t="inlineStr">
        <is>
          <t>[kpZ rknqG</t>
        </is>
      </c>
      <c r="KJ4" s="32" t="inlineStr">
        <is>
          <t>fo|kF;hZ la[;k</t>
        </is>
      </c>
    </row>
    <row r="5" ht="35.1" customHeight="1">
      <c r="A5" s="132" t="inlineStr">
        <is>
          <t>cq/kokj</t>
        </is>
      </c>
      <c r="B5" s="114" t="inlineStr">
        <is>
          <t>01/04/2026</t>
        </is>
      </c>
      <c r="C5" s="108" t="n">
        <v>40</v>
      </c>
      <c r="D5" s="108">
        <f>C5</f>
        <v/>
      </c>
      <c r="E5" s="108" t="n">
        <v>12</v>
      </c>
      <c r="F5" s="108" t="n">
        <v>14</v>
      </c>
      <c r="G5" s="108" t="n">
        <v>10</v>
      </c>
      <c r="H5" s="108">
        <f>G5+F5+E5</f>
        <v/>
      </c>
      <c r="I5" s="132" t="inlineStr">
        <is>
          <t>cq/kokj</t>
        </is>
      </c>
      <c r="J5" s="114" t="inlineStr">
        <is>
          <t>01/04/2026</t>
        </is>
      </c>
      <c r="K5" s="61">
        <f>D5</f>
        <v/>
      </c>
      <c r="L5" s="61">
        <f>H5</f>
        <v/>
      </c>
      <c r="M5" s="61">
        <f>SUM(K5:L5)</f>
        <v/>
      </c>
      <c r="N5" s="140" t="inlineStr">
        <is>
          <t>eVdh</t>
        </is>
      </c>
      <c r="O5" s="89" t="n"/>
      <c r="Q5" s="3" t="n">
        <v>1</v>
      </c>
      <c r="R5" s="114" t="inlineStr">
        <is>
          <t>01/04/2026</t>
        </is>
      </c>
      <c r="S5" s="8" t="n">
        <v>135.8</v>
      </c>
      <c r="T5" s="10" t="n">
        <v>0</v>
      </c>
      <c r="U5" s="8">
        <f>S5+T5</f>
        <v/>
      </c>
      <c r="V5" s="61">
        <f>K5</f>
        <v/>
      </c>
      <c r="W5" s="8" t="n">
        <v>0.1</v>
      </c>
      <c r="X5" s="10">
        <f>V5*W5</f>
        <v/>
      </c>
      <c r="Y5" s="10">
        <f>U5-X5</f>
        <v/>
      </c>
      <c r="Z5" s="11">
        <f>Y5</f>
        <v/>
      </c>
      <c r="AA5" s="3" t="n">
        <v>1</v>
      </c>
      <c r="AB5" s="18">
        <f>R5</f>
        <v/>
      </c>
      <c r="AC5" s="8" t="n">
        <v>382</v>
      </c>
      <c r="AD5" s="10" t="n">
        <v>0</v>
      </c>
      <c r="AE5" s="8">
        <f>AC5+AD5</f>
        <v/>
      </c>
      <c r="AF5" s="61">
        <f>L5</f>
        <v/>
      </c>
      <c r="AG5" s="8" t="n">
        <v>0.15</v>
      </c>
      <c r="AH5" s="12">
        <f>AG5*AF5</f>
        <v/>
      </c>
      <c r="AI5" s="10">
        <f>AE5-AH5</f>
        <v/>
      </c>
      <c r="AJ5" s="11">
        <f>AI5</f>
        <v/>
      </c>
      <c r="AK5" s="10">
        <f>Z5+AJ5</f>
        <v/>
      </c>
      <c r="AM5" s="3" t="n">
        <v>1</v>
      </c>
      <c r="AN5" s="18">
        <f>AB5</f>
        <v/>
      </c>
      <c r="AO5" s="8" t="n">
        <v>18.18</v>
      </c>
      <c r="AP5" s="10" t="n">
        <v>0</v>
      </c>
      <c r="AQ5" s="8">
        <f>AO5+AP5</f>
        <v/>
      </c>
      <c r="AR5" s="61" t="n">
        <v>0</v>
      </c>
      <c r="AS5" s="8" t="n">
        <v>0.02</v>
      </c>
      <c r="AT5" s="10">
        <f>AR5*AS5</f>
        <v/>
      </c>
      <c r="AU5" s="10">
        <f>AQ5-AT5</f>
        <v/>
      </c>
      <c r="AV5" s="11">
        <f>AU5</f>
        <v/>
      </c>
      <c r="AW5" s="3" t="n">
        <v>1</v>
      </c>
      <c r="AX5" s="18">
        <f>AN5</f>
        <v/>
      </c>
      <c r="AY5" s="8" t="n">
        <v>33.48</v>
      </c>
      <c r="AZ5" s="10" t="n">
        <v>0</v>
      </c>
      <c r="BA5" s="8">
        <f>AY5+AZ5</f>
        <v/>
      </c>
      <c r="BB5" s="61" t="n">
        <v>0</v>
      </c>
      <c r="BC5" s="8" t="n">
        <v>0.03</v>
      </c>
      <c r="BD5" s="12">
        <f>BC5*BB5</f>
        <v/>
      </c>
      <c r="BE5" s="10">
        <f>BA5-BD5</f>
        <v/>
      </c>
      <c r="BF5" s="11">
        <f>BE5</f>
        <v/>
      </c>
      <c r="BG5" s="10">
        <f>AV5+BF5</f>
        <v/>
      </c>
      <c r="BI5" s="3" t="n">
        <v>1</v>
      </c>
      <c r="BJ5" s="18">
        <f>AX5</f>
        <v/>
      </c>
      <c r="BK5" s="8" t="n">
        <v>17.54</v>
      </c>
      <c r="BL5" s="10" t="n">
        <v>0</v>
      </c>
      <c r="BM5" s="8">
        <f>BK5+BL5</f>
        <v/>
      </c>
      <c r="BN5" s="61" t="n">
        <v>0</v>
      </c>
      <c r="BO5" s="8" t="n">
        <v>0.02</v>
      </c>
      <c r="BP5" s="10">
        <f>BN5*BO5</f>
        <v/>
      </c>
      <c r="BQ5" s="10">
        <f>BM5-BP5</f>
        <v/>
      </c>
      <c r="BR5" s="11">
        <f>BQ5</f>
        <v/>
      </c>
      <c r="BS5" s="3" t="n">
        <v>1</v>
      </c>
      <c r="BT5" s="18">
        <f>BJ5</f>
        <v/>
      </c>
      <c r="BU5" s="8" t="n">
        <v>33.51</v>
      </c>
      <c r="BV5" s="10" t="n">
        <v>0</v>
      </c>
      <c r="BW5" s="8">
        <f>BU5+BV5</f>
        <v/>
      </c>
      <c r="BX5" s="61" t="n">
        <v>0</v>
      </c>
      <c r="BY5" s="8" t="n">
        <v>0.03</v>
      </c>
      <c r="BZ5" s="12">
        <f>BY5*BX5</f>
        <v/>
      </c>
      <c r="CA5" s="10">
        <f>BW5-BZ5</f>
        <v/>
      </c>
      <c r="CB5" s="11">
        <f>CA5</f>
        <v/>
      </c>
      <c r="CC5" s="10">
        <f>BR5+CB5</f>
        <v/>
      </c>
      <c r="CE5" s="3" t="n">
        <v>1</v>
      </c>
      <c r="CF5" s="18">
        <f>BT5</f>
        <v/>
      </c>
      <c r="CG5" s="8" t="n">
        <v>18.36</v>
      </c>
      <c r="CH5" s="10" t="n">
        <v>0</v>
      </c>
      <c r="CI5" s="8">
        <f>CG5+CH5</f>
        <v/>
      </c>
      <c r="CJ5" s="61">
        <f>K5</f>
        <v/>
      </c>
      <c r="CK5" s="8" t="n">
        <v>0.02</v>
      </c>
      <c r="CL5" s="10">
        <f>CJ5*CK5</f>
        <v/>
      </c>
      <c r="CM5" s="10">
        <f>CI5-CL5</f>
        <v/>
      </c>
      <c r="CN5" s="11">
        <f>CM5</f>
        <v/>
      </c>
      <c r="CO5" s="3" t="n">
        <v>1</v>
      </c>
      <c r="CP5" s="18">
        <f>CF5</f>
        <v/>
      </c>
      <c r="CQ5" s="8" t="n">
        <v>32.62</v>
      </c>
      <c r="CR5" s="10" t="n">
        <v>0</v>
      </c>
      <c r="CS5" s="8">
        <f>CQ5+CR5</f>
        <v/>
      </c>
      <c r="CT5" s="61">
        <f>L5</f>
        <v/>
      </c>
      <c r="CU5" s="8" t="n">
        <v>0.03</v>
      </c>
      <c r="CV5" s="12">
        <f>CU5*CT5</f>
        <v/>
      </c>
      <c r="CW5" s="10">
        <f>CS5-CV5</f>
        <v/>
      </c>
      <c r="CX5" s="11">
        <f>CW5</f>
        <v/>
      </c>
      <c r="CY5" s="10">
        <f>CN5+CX5</f>
        <v/>
      </c>
      <c r="DA5" s="3" t="n">
        <v>1</v>
      </c>
      <c r="DB5" s="18">
        <f>CP5</f>
        <v/>
      </c>
      <c r="DC5" s="8" t="n">
        <v>0.631</v>
      </c>
      <c r="DD5" s="10" t="n">
        <v>0</v>
      </c>
      <c r="DE5" s="8">
        <f>DC5+DD5</f>
        <v/>
      </c>
      <c r="DF5" s="61">
        <f>K5</f>
        <v/>
      </c>
      <c r="DG5" s="106" t="n">
        <v>0.0001</v>
      </c>
      <c r="DH5" s="10">
        <f>DF5*DG5</f>
        <v/>
      </c>
      <c r="DI5" s="10">
        <f>DE5-DH5</f>
        <v/>
      </c>
      <c r="DJ5" s="11">
        <f>DI5</f>
        <v/>
      </c>
      <c r="DK5" s="3" t="n">
        <v>1</v>
      </c>
      <c r="DL5" s="18">
        <f>DB5</f>
        <v/>
      </c>
      <c r="DM5" s="8" t="n">
        <v>1.324</v>
      </c>
      <c r="DN5" s="10" t="n">
        <v>0</v>
      </c>
      <c r="DO5" s="8">
        <f>DM5+DN5</f>
        <v/>
      </c>
      <c r="DP5" s="61">
        <f>L5</f>
        <v/>
      </c>
      <c r="DQ5" s="106" t="n">
        <v>0.0003</v>
      </c>
      <c r="DR5" s="12">
        <f>DQ5*DP5</f>
        <v/>
      </c>
      <c r="DS5" s="10">
        <f>DO5-DR5</f>
        <v/>
      </c>
      <c r="DT5" s="11">
        <f>DS5</f>
        <v/>
      </c>
      <c r="DU5" s="10">
        <f>DJ5+DT5</f>
        <v/>
      </c>
      <c r="DW5" s="3" t="n">
        <v>1</v>
      </c>
      <c r="DX5" s="18">
        <f>DL5</f>
        <v/>
      </c>
      <c r="DY5" s="8" t="n">
        <v>0.9330000000000001</v>
      </c>
      <c r="DZ5" s="10" t="n">
        <v>0</v>
      </c>
      <c r="EA5" s="8">
        <f>DY5+DZ5</f>
        <v/>
      </c>
      <c r="EB5" s="61">
        <f>K5</f>
        <v/>
      </c>
      <c r="EC5" s="106" t="n">
        <v>0.0002</v>
      </c>
      <c r="ED5" s="10">
        <f>EB5*EC5</f>
        <v/>
      </c>
      <c r="EE5" s="10">
        <f>EA5-ED5</f>
        <v/>
      </c>
      <c r="EF5" s="11">
        <f>EE5</f>
        <v/>
      </c>
      <c r="EG5" s="3" t="n">
        <v>1</v>
      </c>
      <c r="EH5" s="18">
        <f>DX5</f>
        <v/>
      </c>
      <c r="EI5" s="8" t="n">
        <v>2.128</v>
      </c>
      <c r="EJ5" s="10" t="n">
        <v>0</v>
      </c>
      <c r="EK5" s="8">
        <f>EI5+EJ5</f>
        <v/>
      </c>
      <c r="EL5" s="61">
        <f>L5</f>
        <v/>
      </c>
      <c r="EM5" s="106" t="n">
        <v>0.0005999999999999999</v>
      </c>
      <c r="EN5" s="12">
        <f>EM5*EL5</f>
        <v/>
      </c>
      <c r="EO5" s="10">
        <f>EK5-EN5</f>
        <v/>
      </c>
      <c r="EP5" s="11">
        <f>EO5</f>
        <v/>
      </c>
      <c r="EQ5" s="10">
        <f>EF5+EP5</f>
        <v/>
      </c>
      <c r="ES5" s="3" t="n">
        <v>1</v>
      </c>
      <c r="ET5" s="18">
        <f>EH5</f>
        <v/>
      </c>
      <c r="EU5" s="8" t="n">
        <v>2.293</v>
      </c>
      <c r="EV5" s="10" t="n">
        <v>0</v>
      </c>
      <c r="EW5" s="8">
        <f>EU5+EV5</f>
        <v/>
      </c>
      <c r="EX5" s="61">
        <f>K5</f>
        <v/>
      </c>
      <c r="EY5" s="107" t="n">
        <v>0.002</v>
      </c>
      <c r="EZ5" s="10">
        <f>EX5*EY5</f>
        <v/>
      </c>
      <c r="FA5" s="10">
        <f>EW5-EZ5</f>
        <v/>
      </c>
      <c r="FB5" s="11">
        <f>FA5</f>
        <v/>
      </c>
      <c r="FC5" s="3" t="n">
        <v>1</v>
      </c>
      <c r="FD5" s="18">
        <f>ET5</f>
        <v/>
      </c>
      <c r="FE5" s="8" t="n">
        <v>8.496</v>
      </c>
      <c r="FF5" s="10" t="n">
        <v>0</v>
      </c>
      <c r="FG5" s="8">
        <f>FE5+FF5</f>
        <v/>
      </c>
      <c r="FH5" s="61">
        <f>L5</f>
        <v/>
      </c>
      <c r="FI5" s="107" t="n">
        <v>0.0025</v>
      </c>
      <c r="FJ5" s="12">
        <f>FI5*FH5</f>
        <v/>
      </c>
      <c r="FK5" s="10">
        <f>FG5-FJ5</f>
        <v/>
      </c>
      <c r="FL5" s="11">
        <f>FK5</f>
        <v/>
      </c>
      <c r="FM5" s="10">
        <f>FB5+FL5</f>
        <v/>
      </c>
      <c r="FO5" s="3" t="n">
        <v>1</v>
      </c>
      <c r="FP5" s="18">
        <f>FD5</f>
        <v/>
      </c>
      <c r="FQ5" s="8" t="n">
        <v>3.437</v>
      </c>
      <c r="FR5" s="10" t="n">
        <v>0</v>
      </c>
      <c r="FS5" s="8">
        <f>FQ5+FR5</f>
        <v/>
      </c>
      <c r="FT5" s="61">
        <f>K5</f>
        <v/>
      </c>
      <c r="FU5" s="8" t="n">
        <v>0.002</v>
      </c>
      <c r="FV5" s="10">
        <f>FT5*FU5</f>
        <v/>
      </c>
      <c r="FW5" s="10">
        <f>FS5-FV5</f>
        <v/>
      </c>
      <c r="FX5" s="11">
        <f>FW5</f>
        <v/>
      </c>
      <c r="FY5" s="3" t="n">
        <v>1</v>
      </c>
      <c r="FZ5" s="18">
        <f>FP5</f>
        <v/>
      </c>
      <c r="GA5" s="8" t="n">
        <v>14.493</v>
      </c>
      <c r="GB5" s="10" t="n">
        <v>0</v>
      </c>
      <c r="GC5" s="8">
        <f>GA5+GB5</f>
        <v/>
      </c>
      <c r="GD5" s="61">
        <f>L5</f>
        <v/>
      </c>
      <c r="GE5" s="8" t="n">
        <v>0.005</v>
      </c>
      <c r="GF5" s="12">
        <f>GE5*GD5</f>
        <v/>
      </c>
      <c r="GG5" s="10">
        <f>GC5-GF5</f>
        <v/>
      </c>
      <c r="GH5" s="11">
        <f>GG5</f>
        <v/>
      </c>
      <c r="GI5" s="10">
        <f>FX5+GH5</f>
        <v/>
      </c>
      <c r="GK5" s="3" t="n">
        <v>1</v>
      </c>
      <c r="GL5" s="18">
        <f>FZ5</f>
        <v/>
      </c>
      <c r="GM5" s="8" t="n">
        <v>4.438</v>
      </c>
      <c r="GN5" s="10" t="n">
        <v>0</v>
      </c>
      <c r="GO5" s="8">
        <f>GM5+GN5</f>
        <v/>
      </c>
      <c r="GP5" s="61">
        <f>K5</f>
        <v/>
      </c>
      <c r="GQ5" s="8" t="n">
        <v>0.005</v>
      </c>
      <c r="GR5" s="10">
        <f>GP5*GQ5</f>
        <v/>
      </c>
      <c r="GS5" s="10">
        <f>GO5-GR5</f>
        <v/>
      </c>
      <c r="GT5" s="11">
        <f>GS5</f>
        <v/>
      </c>
      <c r="GU5" s="3" t="n">
        <v>1</v>
      </c>
      <c r="GV5" s="18">
        <f>GL5</f>
        <v/>
      </c>
      <c r="GW5" s="8" t="n">
        <v>21.552</v>
      </c>
      <c r="GX5" s="10" t="n">
        <v>0</v>
      </c>
      <c r="GY5" s="8">
        <f>GW5+GX5</f>
        <v/>
      </c>
      <c r="GZ5" s="61">
        <f>L5</f>
        <v/>
      </c>
      <c r="HA5" s="8" t="n">
        <v>0.0075</v>
      </c>
      <c r="HB5" s="12">
        <f>HA5*GZ5</f>
        <v/>
      </c>
      <c r="HC5" s="10">
        <f>GY5-HB5</f>
        <v/>
      </c>
      <c r="HD5" s="11">
        <f>HC5</f>
        <v/>
      </c>
      <c r="HE5" s="10">
        <f>GT5+HD5</f>
        <v/>
      </c>
      <c r="HG5" s="3" t="n">
        <v>1</v>
      </c>
      <c r="HH5" s="18">
        <f>GV5</f>
        <v/>
      </c>
      <c r="HI5" s="61">
        <f>K5</f>
        <v/>
      </c>
      <c r="HJ5" s="22" t="n">
        <v>1</v>
      </c>
      <c r="HK5" s="23">
        <f>HI5*HJ5</f>
        <v/>
      </c>
      <c r="HL5" s="61" t="n">
        <v>0.89</v>
      </c>
      <c r="HM5" s="23">
        <f>HI5*HL5</f>
        <v/>
      </c>
      <c r="HN5" s="22" t="n">
        <v>0.7</v>
      </c>
      <c r="HO5" s="22">
        <f>HN5*HI5</f>
        <v/>
      </c>
      <c r="HP5" s="22" t="n">
        <v>2.59</v>
      </c>
      <c r="HQ5" s="9">
        <f>HI5*HP5</f>
        <v/>
      </c>
      <c r="HR5" s="3" t="n">
        <v>1</v>
      </c>
      <c r="HS5" s="18" t="n">
        <v>44933</v>
      </c>
      <c r="HT5" s="61">
        <f>L5</f>
        <v/>
      </c>
      <c r="HU5" s="22" t="n">
        <v>1.64</v>
      </c>
      <c r="HV5" s="23">
        <f>HT5*HU5</f>
        <v/>
      </c>
      <c r="HW5" s="61" t="n">
        <v>1.14</v>
      </c>
      <c r="HX5" s="23">
        <f>HT5*HW5</f>
        <v/>
      </c>
      <c r="HY5" s="22" t="n">
        <v>1.1</v>
      </c>
      <c r="HZ5" s="22">
        <f>HY5*HT5</f>
        <v/>
      </c>
      <c r="IA5" s="22" t="n">
        <v>3.88</v>
      </c>
      <c r="IB5" s="9">
        <f>HT5*IA5</f>
        <v/>
      </c>
      <c r="IC5" s="9">
        <f>HK5+HV5</f>
        <v/>
      </c>
      <c r="ID5" s="9">
        <f>HM5+HX5</f>
        <v/>
      </c>
      <c r="IE5" s="9">
        <f>HO5+HZ5</f>
        <v/>
      </c>
      <c r="IF5" s="103" t="n"/>
      <c r="IG5" s="109">
        <f>HH5</f>
        <v/>
      </c>
      <c r="IH5" s="132" t="inlineStr">
        <is>
          <t>xq:okj</t>
        </is>
      </c>
      <c r="II5" s="140" t="inlineStr">
        <is>
          <t>elqj nkG</t>
        </is>
      </c>
      <c r="IJ5" s="105">
        <f>C5</f>
        <v/>
      </c>
      <c r="IK5" s="105">
        <f>IJ5</f>
        <v/>
      </c>
      <c r="IL5" s="105">
        <f>K5</f>
        <v/>
      </c>
      <c r="IM5" s="105">
        <f>IL5*100</f>
        <v/>
      </c>
      <c r="IN5" s="105">
        <f>IL5*20</f>
        <v/>
      </c>
      <c r="IO5" s="105" t="n"/>
      <c r="IP5" s="105" t="n"/>
      <c r="IQ5" s="105">
        <f>IL5*0.3</f>
        <v/>
      </c>
      <c r="IR5" s="105">
        <f>IL5*0.4</f>
        <v/>
      </c>
      <c r="IS5" s="105">
        <f>IL5*1.5</f>
        <v/>
      </c>
      <c r="IT5" s="105">
        <f>IL5*5</f>
        <v/>
      </c>
      <c r="IU5" s="105">
        <f>IL5*2</f>
        <v/>
      </c>
      <c r="IV5" s="105">
        <f>IL5*2.08</f>
        <v/>
      </c>
      <c r="IW5" s="105" t="n"/>
      <c r="IX5" s="105">
        <f>IL5*2.08</f>
        <v/>
      </c>
      <c r="IY5" s="105" t="n"/>
      <c r="IZ5" s="109">
        <f>IG5</f>
        <v/>
      </c>
      <c r="JA5" s="132" t="inlineStr">
        <is>
          <t>xq:okj</t>
        </is>
      </c>
      <c r="JB5" s="140" t="inlineStr">
        <is>
          <t>elqj nkG</t>
        </is>
      </c>
      <c r="JC5" s="105" t="n">
        <v>45</v>
      </c>
      <c r="JD5" s="105">
        <f>JC5</f>
        <v/>
      </c>
      <c r="JE5" s="105">
        <f>L5</f>
        <v/>
      </c>
      <c r="JF5" s="105">
        <f>JE5*150</f>
        <v/>
      </c>
      <c r="JG5" s="105">
        <f>JE5*30</f>
        <v/>
      </c>
      <c r="JH5" s="105" t="n"/>
      <c r="JI5" s="105" t="n"/>
      <c r="JJ5" s="105">
        <f>JE5*0.25</f>
        <v/>
      </c>
      <c r="JK5" s="105">
        <f>JE5*0.4</f>
        <v/>
      </c>
      <c r="JL5" s="105">
        <f>JE5*2.5</f>
        <v/>
      </c>
      <c r="JM5" s="105">
        <f>JE5*7.5</f>
        <v/>
      </c>
      <c r="JN5" s="105">
        <f>JE5*4</f>
        <v/>
      </c>
      <c r="JO5" s="105">
        <f>JE5*3.11</f>
        <v/>
      </c>
      <c r="JP5" s="105" t="n"/>
      <c r="JQ5" s="105">
        <f>JE5*3.11</f>
        <v/>
      </c>
      <c r="JR5" s="105" t="n"/>
      <c r="JS5" s="53" t="n"/>
      <c r="JT5" s="60" t="n">
        <v>1</v>
      </c>
      <c r="JU5" s="60" t="n">
        <v>2</v>
      </c>
      <c r="JV5" s="60" t="n">
        <v>3</v>
      </c>
      <c r="JW5" s="60" t="n">
        <v>4</v>
      </c>
      <c r="JX5" s="60" t="n">
        <v>5</v>
      </c>
      <c r="JY5" s="59" t="n">
        <v>6</v>
      </c>
      <c r="JZ5" s="103" t="n"/>
      <c r="KA5" s="60" t="n">
        <v>1</v>
      </c>
      <c r="KB5" s="60" t="n">
        <v>2</v>
      </c>
      <c r="KC5" s="60" t="n">
        <v>3</v>
      </c>
      <c r="KD5" s="60" t="n">
        <v>4</v>
      </c>
      <c r="KE5" s="60" t="n">
        <v>5</v>
      </c>
      <c r="KF5" s="60" t="n">
        <v>6</v>
      </c>
      <c r="KG5" s="60" t="n">
        <v>1</v>
      </c>
      <c r="KH5" s="60" t="n">
        <v>2</v>
      </c>
      <c r="KI5" s="59" t="n">
        <v>3</v>
      </c>
      <c r="KJ5" s="73" t="n">
        <v>4</v>
      </c>
    </row>
    <row r="6" ht="35.1" customHeight="1">
      <c r="A6" s="132" t="inlineStr">
        <is>
          <t>xq:okj</t>
        </is>
      </c>
      <c r="B6" s="114" t="inlineStr">
        <is>
          <t>02/04/2026</t>
        </is>
      </c>
      <c r="C6" s="108" t="n">
        <v>0</v>
      </c>
      <c r="D6" s="108">
        <f>C6</f>
        <v/>
      </c>
      <c r="E6" s="108" t="n">
        <v>0</v>
      </c>
      <c r="F6" s="108" t="n">
        <v>0</v>
      </c>
      <c r="G6" s="108" t="n">
        <v>0</v>
      </c>
      <c r="H6" s="108">
        <f>G6+F6+E6</f>
        <v/>
      </c>
      <c r="I6" s="132" t="inlineStr">
        <is>
          <t>xq:okj</t>
        </is>
      </c>
      <c r="J6" s="114" t="inlineStr">
        <is>
          <t>02/04/2026</t>
        </is>
      </c>
      <c r="K6" s="61">
        <f>D6</f>
        <v/>
      </c>
      <c r="L6" s="61">
        <f>H6</f>
        <v/>
      </c>
      <c r="M6" s="61">
        <f>SUM(K6:L6)</f>
        <v/>
      </c>
      <c r="N6" s="140" t="inlineStr">
        <is>
          <t>elqj nkG</t>
        </is>
      </c>
      <c r="O6" s="89" t="n"/>
      <c r="Q6" s="3" t="n">
        <v>2</v>
      </c>
      <c r="R6" s="114" t="inlineStr">
        <is>
          <t>02/04/2026</t>
        </is>
      </c>
      <c r="S6" s="11">
        <f>Z5</f>
        <v/>
      </c>
      <c r="T6" s="10" t="n">
        <v>0</v>
      </c>
      <c r="U6" s="8">
        <f>S6+T6</f>
        <v/>
      </c>
      <c r="V6" s="61">
        <f>K6</f>
        <v/>
      </c>
      <c r="W6" s="8" t="n">
        <v>0.1</v>
      </c>
      <c r="X6" s="10">
        <f>V6*W6</f>
        <v/>
      </c>
      <c r="Y6" s="10">
        <f>U6-X6</f>
        <v/>
      </c>
      <c r="Z6" s="11">
        <f>Y6</f>
        <v/>
      </c>
      <c r="AA6" s="3" t="n">
        <v>2</v>
      </c>
      <c r="AB6" s="18">
        <f>R6</f>
        <v/>
      </c>
      <c r="AC6" s="8">
        <f>AJ5</f>
        <v/>
      </c>
      <c r="AD6" s="10" t="n">
        <v>0</v>
      </c>
      <c r="AE6" s="8">
        <f>AC6+AD6</f>
        <v/>
      </c>
      <c r="AF6" s="61">
        <f>L6</f>
        <v/>
      </c>
      <c r="AG6" s="8" t="n">
        <v>0.15</v>
      </c>
      <c r="AH6" s="12">
        <f>AG6*AF6</f>
        <v/>
      </c>
      <c r="AI6" s="10">
        <f>AE6-AH6</f>
        <v/>
      </c>
      <c r="AJ6" s="11">
        <f>AI6</f>
        <v/>
      </c>
      <c r="AK6" s="10">
        <f>Z6+AJ6</f>
        <v/>
      </c>
      <c r="AM6" s="3" t="n">
        <v>2</v>
      </c>
      <c r="AN6" s="18">
        <f>AB6</f>
        <v/>
      </c>
      <c r="AO6" s="8">
        <f>AV5</f>
        <v/>
      </c>
      <c r="AP6" s="10" t="n">
        <v>0</v>
      </c>
      <c r="AQ6" s="8">
        <f>AO6+AP6</f>
        <v/>
      </c>
      <c r="AR6" s="61" t="n">
        <v>0</v>
      </c>
      <c r="AS6" s="8" t="n">
        <v>0.02</v>
      </c>
      <c r="AT6" s="10">
        <f>AR6*AS6</f>
        <v/>
      </c>
      <c r="AU6" s="10">
        <f>AQ6-AT6</f>
        <v/>
      </c>
      <c r="AV6" s="11">
        <f>AU6</f>
        <v/>
      </c>
      <c r="AW6" s="3" t="n">
        <v>2</v>
      </c>
      <c r="AX6" s="18">
        <f>AN6</f>
        <v/>
      </c>
      <c r="AY6" s="8">
        <f>BF5</f>
        <v/>
      </c>
      <c r="AZ6" s="10" t="n">
        <v>0</v>
      </c>
      <c r="BA6" s="8">
        <f>AY6+AZ6</f>
        <v/>
      </c>
      <c r="BB6" s="61" t="n">
        <v>0</v>
      </c>
      <c r="BC6" s="8" t="n">
        <v>0.03</v>
      </c>
      <c r="BD6" s="12">
        <f>BC6*BB6</f>
        <v/>
      </c>
      <c r="BE6" s="10">
        <f>BA6-BD6</f>
        <v/>
      </c>
      <c r="BF6" s="11">
        <f>BE6</f>
        <v/>
      </c>
      <c r="BG6" s="10">
        <f>AV6+BF6</f>
        <v/>
      </c>
      <c r="BI6" s="3" t="n">
        <v>2</v>
      </c>
      <c r="BJ6" s="18">
        <f>AX6</f>
        <v/>
      </c>
      <c r="BK6" s="8">
        <f>BR5</f>
        <v/>
      </c>
      <c r="BL6" s="10" t="n">
        <v>0</v>
      </c>
      <c r="BM6" s="8">
        <f>BK6+BL6</f>
        <v/>
      </c>
      <c r="BN6" s="61">
        <f>K6</f>
        <v/>
      </c>
      <c r="BO6" s="8" t="n">
        <v>0.02</v>
      </c>
      <c r="BP6" s="10">
        <f>BN6*BO6</f>
        <v/>
      </c>
      <c r="BQ6" s="10">
        <f>BM6-BP6</f>
        <v/>
      </c>
      <c r="BR6" s="11">
        <f>BQ6</f>
        <v/>
      </c>
      <c r="BS6" s="3" t="n">
        <v>2</v>
      </c>
      <c r="BT6" s="18">
        <f>BJ6</f>
        <v/>
      </c>
      <c r="BU6" s="8">
        <f>CB5</f>
        <v/>
      </c>
      <c r="BV6" s="10" t="n">
        <v>0</v>
      </c>
      <c r="BW6" s="8">
        <f>BU6+BV6</f>
        <v/>
      </c>
      <c r="BX6" s="61">
        <f>L6</f>
        <v/>
      </c>
      <c r="BY6" s="8" t="n">
        <v>0.03</v>
      </c>
      <c r="BZ6" s="12">
        <f>BY6*BX6</f>
        <v/>
      </c>
      <c r="CA6" s="10">
        <f>BW6-BZ6</f>
        <v/>
      </c>
      <c r="CB6" s="11">
        <f>CA6</f>
        <v/>
      </c>
      <c r="CC6" s="10">
        <f>BR6+CB6</f>
        <v/>
      </c>
      <c r="CE6" s="3" t="n">
        <v>2</v>
      </c>
      <c r="CF6" s="18">
        <f>BT6</f>
        <v/>
      </c>
      <c r="CG6" s="8">
        <f>CN5</f>
        <v/>
      </c>
      <c r="CH6" s="10" t="n">
        <v>0</v>
      </c>
      <c r="CI6" s="8">
        <f>CG6+CH6</f>
        <v/>
      </c>
      <c r="CJ6" s="61" t="n">
        <v>0</v>
      </c>
      <c r="CK6" s="8" t="n">
        <v>0.02</v>
      </c>
      <c r="CL6" s="10">
        <f>CJ6*CK6</f>
        <v/>
      </c>
      <c r="CM6" s="10">
        <f>CI6-CL6</f>
        <v/>
      </c>
      <c r="CN6" s="11">
        <f>CM6</f>
        <v/>
      </c>
      <c r="CO6" s="3" t="n">
        <v>2</v>
      </c>
      <c r="CP6" s="18">
        <f>CF6</f>
        <v/>
      </c>
      <c r="CQ6" s="8">
        <f>CX5</f>
        <v/>
      </c>
      <c r="CR6" s="10" t="n">
        <v>0</v>
      </c>
      <c r="CS6" s="8">
        <f>CQ6+CR6</f>
        <v/>
      </c>
      <c r="CT6" s="61" t="n">
        <v>0</v>
      </c>
      <c r="CU6" s="8" t="n">
        <v>0.03</v>
      </c>
      <c r="CV6" s="12">
        <f>CU6*CT6</f>
        <v/>
      </c>
      <c r="CW6" s="10">
        <f>CS6-CV6</f>
        <v/>
      </c>
      <c r="CX6" s="11">
        <f>CW6</f>
        <v/>
      </c>
      <c r="CY6" s="10">
        <f>CN6+CX6</f>
        <v/>
      </c>
      <c r="DA6" s="3" t="n">
        <v>2</v>
      </c>
      <c r="DB6" s="18">
        <f>CP6</f>
        <v/>
      </c>
      <c r="DC6" s="8">
        <f>DJ5</f>
        <v/>
      </c>
      <c r="DD6" s="10" t="n">
        <v>0</v>
      </c>
      <c r="DE6" s="8">
        <f>DC6+DD6</f>
        <v/>
      </c>
      <c r="DF6" s="61">
        <f>K6</f>
        <v/>
      </c>
      <c r="DG6" s="106" t="n">
        <v>0.0001</v>
      </c>
      <c r="DH6" s="10">
        <f>DF6*DG6</f>
        <v/>
      </c>
      <c r="DI6" s="10">
        <f>DE6-DH6</f>
        <v/>
      </c>
      <c r="DJ6" s="11">
        <f>DI6</f>
        <v/>
      </c>
      <c r="DK6" s="3" t="n">
        <v>2</v>
      </c>
      <c r="DL6" s="18">
        <f>DB6</f>
        <v/>
      </c>
      <c r="DM6" s="8">
        <f>DT5</f>
        <v/>
      </c>
      <c r="DN6" s="10" t="n">
        <v>0</v>
      </c>
      <c r="DO6" s="8">
        <f>DM6+DN6</f>
        <v/>
      </c>
      <c r="DP6" s="61">
        <f>L6</f>
        <v/>
      </c>
      <c r="DQ6" s="106" t="n">
        <v>0.0003</v>
      </c>
      <c r="DR6" s="12">
        <f>DQ6*DP6</f>
        <v/>
      </c>
      <c r="DS6" s="10">
        <f>DO6-DR6</f>
        <v/>
      </c>
      <c r="DT6" s="11">
        <f>DS6</f>
        <v/>
      </c>
      <c r="DU6" s="10">
        <f>DJ6+DT6</f>
        <v/>
      </c>
      <c r="DW6" s="3" t="n">
        <v>2</v>
      </c>
      <c r="DX6" s="18">
        <f>DL6</f>
        <v/>
      </c>
      <c r="DY6" s="8">
        <f>EF5</f>
        <v/>
      </c>
      <c r="DZ6" s="10" t="n">
        <v>0</v>
      </c>
      <c r="EA6" s="8">
        <f>DY6+DZ6</f>
        <v/>
      </c>
      <c r="EB6" s="61">
        <f>K6</f>
        <v/>
      </c>
      <c r="EC6" s="106" t="n">
        <v>0.0002</v>
      </c>
      <c r="ED6" s="10">
        <f>EB6*EC6</f>
        <v/>
      </c>
      <c r="EE6" s="10">
        <f>EA6-ED6</f>
        <v/>
      </c>
      <c r="EF6" s="11">
        <f>EE6</f>
        <v/>
      </c>
      <c r="EG6" s="3" t="n">
        <v>2</v>
      </c>
      <c r="EH6" s="18">
        <f>DX6</f>
        <v/>
      </c>
      <c r="EI6" s="8">
        <f>EP5</f>
        <v/>
      </c>
      <c r="EJ6" s="10" t="n">
        <v>0</v>
      </c>
      <c r="EK6" s="8">
        <f>EI6+EJ6</f>
        <v/>
      </c>
      <c r="EL6" s="61">
        <f>L6</f>
        <v/>
      </c>
      <c r="EM6" s="106" t="n">
        <v>0.0005999999999999999</v>
      </c>
      <c r="EN6" s="12">
        <f>EM6*EL6</f>
        <v/>
      </c>
      <c r="EO6" s="10">
        <f>EK6-EN6</f>
        <v/>
      </c>
      <c r="EP6" s="11">
        <f>EO6</f>
        <v/>
      </c>
      <c r="EQ6" s="10">
        <f>EF6+EP6</f>
        <v/>
      </c>
      <c r="ES6" s="3" t="n">
        <v>2</v>
      </c>
      <c r="ET6" s="18">
        <f>EH6</f>
        <v/>
      </c>
      <c r="EU6" s="8">
        <f>FB5</f>
        <v/>
      </c>
      <c r="EV6" s="10" t="n">
        <v>0</v>
      </c>
      <c r="EW6" s="8">
        <f>EU6+EV6</f>
        <v/>
      </c>
      <c r="EX6" s="61">
        <f>K6</f>
        <v/>
      </c>
      <c r="EY6" s="107" t="n">
        <v>0.002</v>
      </c>
      <c r="EZ6" s="10">
        <f>EX6*EY6</f>
        <v/>
      </c>
      <c r="FA6" s="10">
        <f>EW6-EZ6</f>
        <v/>
      </c>
      <c r="FB6" s="11">
        <f>FA6</f>
        <v/>
      </c>
      <c r="FC6" s="3" t="n">
        <v>2</v>
      </c>
      <c r="FD6" s="18">
        <f>ET6</f>
        <v/>
      </c>
      <c r="FE6" s="8">
        <f>FL5</f>
        <v/>
      </c>
      <c r="FF6" s="10" t="n">
        <v>0</v>
      </c>
      <c r="FG6" s="8">
        <f>FE6+FF6</f>
        <v/>
      </c>
      <c r="FH6" s="61">
        <f>L6</f>
        <v/>
      </c>
      <c r="FI6" s="107" t="n">
        <v>0.0025</v>
      </c>
      <c r="FJ6" s="12">
        <f>FI6*FH6</f>
        <v/>
      </c>
      <c r="FK6" s="10">
        <f>FG6-FJ6</f>
        <v/>
      </c>
      <c r="FL6" s="11">
        <f>FK6</f>
        <v/>
      </c>
      <c r="FM6" s="10">
        <f>FB6+FL6</f>
        <v/>
      </c>
      <c r="FO6" s="3" t="n">
        <v>2</v>
      </c>
      <c r="FP6" s="18">
        <f>FD6</f>
        <v/>
      </c>
      <c r="FQ6" s="8">
        <f>FX5</f>
        <v/>
      </c>
      <c r="FR6" s="10" t="n">
        <v>0</v>
      </c>
      <c r="FS6" s="8">
        <f>FQ6+FR6</f>
        <v/>
      </c>
      <c r="FT6" s="61">
        <f>K6</f>
        <v/>
      </c>
      <c r="FU6" s="8" t="n">
        <v>0.002</v>
      </c>
      <c r="FV6" s="10">
        <f>FT6*FU6</f>
        <v/>
      </c>
      <c r="FW6" s="10">
        <f>FS6-FV6</f>
        <v/>
      </c>
      <c r="FX6" s="11">
        <f>FW6</f>
        <v/>
      </c>
      <c r="FY6" s="3" t="n">
        <v>2</v>
      </c>
      <c r="FZ6" s="18">
        <f>FP6</f>
        <v/>
      </c>
      <c r="GA6" s="8">
        <f>GH5</f>
        <v/>
      </c>
      <c r="GB6" s="10" t="n">
        <v>0</v>
      </c>
      <c r="GC6" s="8">
        <f>GA6+GB6</f>
        <v/>
      </c>
      <c r="GD6" s="61">
        <f>L6</f>
        <v/>
      </c>
      <c r="GE6" s="8" t="n">
        <v>0.005</v>
      </c>
      <c r="GF6" s="12">
        <f>GE6*GD6</f>
        <v/>
      </c>
      <c r="GG6" s="10">
        <f>GC6-GF6</f>
        <v/>
      </c>
      <c r="GH6" s="11">
        <f>GG6</f>
        <v/>
      </c>
      <c r="GI6" s="10">
        <f>FX6+GH6</f>
        <v/>
      </c>
      <c r="GK6" s="3" t="n">
        <v>2</v>
      </c>
      <c r="GL6" s="18">
        <f>FZ6</f>
        <v/>
      </c>
      <c r="GM6" s="8">
        <f>GT5</f>
        <v/>
      </c>
      <c r="GN6" s="10" t="n">
        <v>0</v>
      </c>
      <c r="GO6" s="8">
        <f>GM6+GN6</f>
        <v/>
      </c>
      <c r="GP6" s="61">
        <f>K6</f>
        <v/>
      </c>
      <c r="GQ6" s="8" t="n">
        <v>0.005</v>
      </c>
      <c r="GR6" s="10">
        <f>GP6*GQ6</f>
        <v/>
      </c>
      <c r="GS6" s="10">
        <f>GO6-GR6</f>
        <v/>
      </c>
      <c r="GT6" s="11">
        <f>GS6</f>
        <v/>
      </c>
      <c r="GU6" s="3" t="n">
        <v>2</v>
      </c>
      <c r="GV6" s="18">
        <f>GL6</f>
        <v/>
      </c>
      <c r="GW6" s="8">
        <f>HD5</f>
        <v/>
      </c>
      <c r="GX6" s="10" t="n">
        <v>0</v>
      </c>
      <c r="GY6" s="8">
        <f>GW6+GX6</f>
        <v/>
      </c>
      <c r="GZ6" s="61">
        <f>L6</f>
        <v/>
      </c>
      <c r="HA6" s="8" t="n">
        <v>0.0075</v>
      </c>
      <c r="HB6" s="12">
        <f>HA6*GZ6</f>
        <v/>
      </c>
      <c r="HC6" s="10">
        <f>GY6-HB6</f>
        <v/>
      </c>
      <c r="HD6" s="11">
        <f>HC6</f>
        <v/>
      </c>
      <c r="HE6" s="10">
        <f>GT6+HD6</f>
        <v/>
      </c>
      <c r="HG6" s="3" t="n">
        <v>2</v>
      </c>
      <c r="HH6" s="18">
        <f>GV6</f>
        <v/>
      </c>
      <c r="HI6" s="61">
        <f>K6</f>
        <v/>
      </c>
      <c r="HJ6" s="22" t="n">
        <v>1</v>
      </c>
      <c r="HK6" s="23">
        <f>HI6*HJ6</f>
        <v/>
      </c>
      <c r="HL6" s="61" t="n">
        <v>0.89</v>
      </c>
      <c r="HM6" s="23">
        <f>HI6*HL6</f>
        <v/>
      </c>
      <c r="HN6" s="22" t="n">
        <v>0.7</v>
      </c>
      <c r="HO6" s="22">
        <f>HN6*HI6</f>
        <v/>
      </c>
      <c r="HP6" s="22" t="n">
        <v>2.59</v>
      </c>
      <c r="HQ6" s="9">
        <f>HI6*HP6</f>
        <v/>
      </c>
      <c r="HR6" s="3" t="n">
        <v>2</v>
      </c>
      <c r="HS6" s="18" t="n">
        <v>44964</v>
      </c>
      <c r="HT6" s="61">
        <f>L6</f>
        <v/>
      </c>
      <c r="HU6" s="22" t="n">
        <v>1.64</v>
      </c>
      <c r="HV6" s="23">
        <f>HT6*HU6</f>
        <v/>
      </c>
      <c r="HW6" s="61" t="n">
        <v>1.14</v>
      </c>
      <c r="HX6" s="23">
        <f>HT6*HW6</f>
        <v/>
      </c>
      <c r="HY6" s="22" t="n">
        <v>1.1</v>
      </c>
      <c r="HZ6" s="22">
        <f>HY6*HT6</f>
        <v/>
      </c>
      <c r="IA6" s="22" t="n">
        <v>3.11</v>
      </c>
      <c r="IB6" s="9">
        <f>HT6*IA6</f>
        <v/>
      </c>
      <c r="IC6" s="9">
        <f>HK6+HV6</f>
        <v/>
      </c>
      <c r="ID6" s="9">
        <f>HM6+HX6</f>
        <v/>
      </c>
      <c r="IE6" s="9">
        <f>HO6+HZ6</f>
        <v/>
      </c>
      <c r="IF6" s="103" t="n"/>
      <c r="IG6" s="109">
        <f>HH6</f>
        <v/>
      </c>
      <c r="IH6" s="132" t="inlineStr">
        <is>
          <t xml:space="preserve"> 'kqdzokj</t>
        </is>
      </c>
      <c r="II6" s="140" t="inlineStr">
        <is>
          <t>okVk.kk</t>
        </is>
      </c>
      <c r="IJ6" s="105">
        <f>IJ5</f>
        <v/>
      </c>
      <c r="IK6" s="105">
        <f>IJ6</f>
        <v/>
      </c>
      <c r="IL6" s="105">
        <f>K6</f>
        <v/>
      </c>
      <c r="IM6" s="105">
        <f>IL6*100</f>
        <v/>
      </c>
      <c r="IN6" s="105" t="n"/>
      <c r="IO6" s="105">
        <f>IL6*20</f>
        <v/>
      </c>
      <c r="IP6" s="105" t="n"/>
      <c r="IQ6" s="105">
        <f>IL6*0.3</f>
        <v/>
      </c>
      <c r="IR6" s="105">
        <f>IL6*0.4</f>
        <v/>
      </c>
      <c r="IS6" s="105">
        <f>IL6*1.5</f>
        <v/>
      </c>
      <c r="IT6" s="105">
        <f>IL6*5</f>
        <v/>
      </c>
      <c r="IU6" s="105">
        <f>IL6*2</f>
        <v/>
      </c>
      <c r="IV6" s="105">
        <f>IL6*2.08</f>
        <v/>
      </c>
      <c r="IW6" s="105" t="n"/>
      <c r="IX6" s="105">
        <f>IL6*2.08</f>
        <v/>
      </c>
      <c r="IY6" s="105" t="n"/>
      <c r="IZ6" s="109">
        <f>IG6</f>
        <v/>
      </c>
      <c r="JA6" s="132" t="inlineStr">
        <is>
          <t xml:space="preserve"> 'kqdzokj</t>
        </is>
      </c>
      <c r="JB6" s="140" t="inlineStr">
        <is>
          <t>okVk.kk</t>
        </is>
      </c>
      <c r="JC6" s="105">
        <f>JC5</f>
        <v/>
      </c>
      <c r="JD6" s="105">
        <f>JC6</f>
        <v/>
      </c>
      <c r="JE6" s="105">
        <f>L6</f>
        <v/>
      </c>
      <c r="JF6" s="105">
        <f>JE6*150</f>
        <v/>
      </c>
      <c r="JG6" s="105" t="n"/>
      <c r="JH6" s="105">
        <f>JE6*30</f>
        <v/>
      </c>
      <c r="JI6" s="105" t="n"/>
      <c r="JJ6" s="105">
        <f>JE6*0.25</f>
        <v/>
      </c>
      <c r="JK6" s="105">
        <f>JE6*0.4</f>
        <v/>
      </c>
      <c r="JL6" s="105">
        <f>JE6*2.5</f>
        <v/>
      </c>
      <c r="JM6" s="105">
        <f>JE6*7.5</f>
        <v/>
      </c>
      <c r="JN6" s="105">
        <f>JE6*4</f>
        <v/>
      </c>
      <c r="JO6" s="105">
        <f>JE6*3.11</f>
        <v/>
      </c>
      <c r="JP6" s="105" t="n"/>
      <c r="JQ6" s="105">
        <f>JE6*3.11</f>
        <v/>
      </c>
      <c r="JR6" s="105" t="n"/>
      <c r="JS6" s="53" t="n"/>
      <c r="JT6" s="59" t="n">
        <v>1</v>
      </c>
      <c r="JU6" s="30" t="inlineStr">
        <is>
          <t>rkanqG</t>
        </is>
      </c>
      <c r="JV6" s="38">
        <f>Z35</f>
        <v/>
      </c>
      <c r="JW6" s="38">
        <f>AJ35</f>
        <v/>
      </c>
      <c r="JX6" s="38">
        <f>SUM(JV6:JW6)</f>
        <v/>
      </c>
      <c r="JY6" s="56" t="n"/>
      <c r="JZ6" s="103" t="n"/>
      <c r="KA6" s="59" t="n">
        <v>1</v>
      </c>
      <c r="KB6" s="30" t="inlineStr">
        <is>
          <t>rkanqG</t>
        </is>
      </c>
      <c r="KC6" s="38">
        <f>JV6</f>
        <v/>
      </c>
      <c r="KD6" s="38">
        <f>T36</f>
        <v/>
      </c>
      <c r="KE6" s="38">
        <f>X36</f>
        <v/>
      </c>
      <c r="KF6" s="72">
        <f>V36</f>
        <v/>
      </c>
      <c r="KG6" s="38">
        <f>JW6</f>
        <v/>
      </c>
      <c r="KH6" s="38">
        <f>AD36</f>
        <v/>
      </c>
      <c r="KI6" s="38">
        <f>AH36</f>
        <v/>
      </c>
      <c r="KJ6" s="72">
        <f>AF36</f>
        <v/>
      </c>
    </row>
    <row r="7" ht="35.1" customHeight="1">
      <c r="A7" s="132" t="inlineStr">
        <is>
          <t xml:space="preserve"> 'kqdzokj</t>
        </is>
      </c>
      <c r="B7" s="114" t="inlineStr">
        <is>
          <t>03/04/2026</t>
        </is>
      </c>
      <c r="C7" s="108" t="n">
        <v>0</v>
      </c>
      <c r="D7" s="108">
        <f>C7</f>
        <v/>
      </c>
      <c r="E7" s="108" t="n">
        <v>0</v>
      </c>
      <c r="F7" s="108" t="n">
        <v>0</v>
      </c>
      <c r="G7" s="108" t="n">
        <v>0</v>
      </c>
      <c r="H7" s="108">
        <f>G7+F7+E7</f>
        <v/>
      </c>
      <c r="I7" s="132" t="inlineStr">
        <is>
          <t xml:space="preserve"> 'kqdzokj</t>
        </is>
      </c>
      <c r="J7" s="114" t="inlineStr">
        <is>
          <t>03/04/2026</t>
        </is>
      </c>
      <c r="K7" s="61">
        <f>D7</f>
        <v/>
      </c>
      <c r="L7" s="61">
        <f>H7</f>
        <v/>
      </c>
      <c r="M7" s="61">
        <f>SUM(K7:L7)</f>
        <v/>
      </c>
      <c r="N7" s="140" t="inlineStr">
        <is>
          <t>poGh</t>
        </is>
      </c>
      <c r="O7" s="89" t="n"/>
      <c r="Q7" s="3" t="n">
        <v>3</v>
      </c>
      <c r="R7" s="114" t="inlineStr">
        <is>
          <t>03/04/2026</t>
        </is>
      </c>
      <c r="S7" s="11">
        <f>Z6</f>
        <v/>
      </c>
      <c r="T7" s="10" t="n">
        <v>0</v>
      </c>
      <c r="U7" s="8">
        <f>S7+T7</f>
        <v/>
      </c>
      <c r="V7" s="61">
        <f>K7</f>
        <v/>
      </c>
      <c r="W7" s="8" t="n">
        <v>0.1</v>
      </c>
      <c r="X7" s="10">
        <f>V7*W7</f>
        <v/>
      </c>
      <c r="Y7" s="10">
        <f>U7-X7</f>
        <v/>
      </c>
      <c r="Z7" s="11">
        <f>Y7</f>
        <v/>
      </c>
      <c r="AA7" s="3" t="n">
        <v>3</v>
      </c>
      <c r="AB7" s="18">
        <f>R7</f>
        <v/>
      </c>
      <c r="AC7" s="8">
        <f>AJ6</f>
        <v/>
      </c>
      <c r="AD7" s="10" t="n">
        <v>0</v>
      </c>
      <c r="AE7" s="8">
        <f>AC7+AD7</f>
        <v/>
      </c>
      <c r="AF7" s="61">
        <f>L7</f>
        <v/>
      </c>
      <c r="AG7" s="8" t="n">
        <v>0.15</v>
      </c>
      <c r="AH7" s="12">
        <f>AG7*AF7</f>
        <v/>
      </c>
      <c r="AI7" s="10">
        <f>AE7-AH7</f>
        <v/>
      </c>
      <c r="AJ7" s="11">
        <f>AI7</f>
        <v/>
      </c>
      <c r="AK7" s="10">
        <f>Z7+AJ7</f>
        <v/>
      </c>
      <c r="AM7" s="3" t="n">
        <v>3</v>
      </c>
      <c r="AN7" s="18">
        <f>AB7</f>
        <v/>
      </c>
      <c r="AO7" s="8">
        <f>AV6</f>
        <v/>
      </c>
      <c r="AP7" s="10" t="n">
        <v>0</v>
      </c>
      <c r="AQ7" s="8">
        <f>AO7+AP7</f>
        <v/>
      </c>
      <c r="AR7" s="61" t="n">
        <v>0</v>
      </c>
      <c r="AS7" s="8" t="n">
        <v>0.02</v>
      </c>
      <c r="AT7" s="10">
        <f>AR7*AS7</f>
        <v/>
      </c>
      <c r="AU7" s="10">
        <f>AQ7-AT7</f>
        <v/>
      </c>
      <c r="AV7" s="11">
        <f>AU7</f>
        <v/>
      </c>
      <c r="AW7" s="3" t="n">
        <v>3</v>
      </c>
      <c r="AX7" s="18">
        <f>AN7</f>
        <v/>
      </c>
      <c r="AY7" s="8">
        <f>BF6</f>
        <v/>
      </c>
      <c r="AZ7" s="10" t="n">
        <v>0</v>
      </c>
      <c r="BA7" s="8">
        <f>AY7+AZ7</f>
        <v/>
      </c>
      <c r="BB7" s="61" t="n">
        <v>0</v>
      </c>
      <c r="BC7" s="8" t="n">
        <v>0.03</v>
      </c>
      <c r="BD7" s="12">
        <f>BC7*BB7</f>
        <v/>
      </c>
      <c r="BE7" s="10">
        <f>BA7-BD7</f>
        <v/>
      </c>
      <c r="BF7" s="11">
        <f>BE7</f>
        <v/>
      </c>
      <c r="BG7" s="10">
        <f>AV7+BF7</f>
        <v/>
      </c>
      <c r="BI7" s="3" t="n">
        <v>3</v>
      </c>
      <c r="BJ7" s="18">
        <f>AX7</f>
        <v/>
      </c>
      <c r="BK7" s="8">
        <f>BR6</f>
        <v/>
      </c>
      <c r="BL7" s="10" t="n">
        <v>0</v>
      </c>
      <c r="BM7" s="8">
        <f>BK7+BL7</f>
        <v/>
      </c>
      <c r="BN7" s="61" t="n">
        <v>0</v>
      </c>
      <c r="BO7" s="8" t="n">
        <v>0.02</v>
      </c>
      <c r="BP7" s="10">
        <f>BN7*BO7</f>
        <v/>
      </c>
      <c r="BQ7" s="10">
        <f>BM7-BP7</f>
        <v/>
      </c>
      <c r="BR7" s="11">
        <f>BQ7</f>
        <v/>
      </c>
      <c r="BS7" s="3" t="n">
        <v>3</v>
      </c>
      <c r="BT7" s="18">
        <f>BJ7</f>
        <v/>
      </c>
      <c r="BU7" s="8">
        <f>CB6</f>
        <v/>
      </c>
      <c r="BV7" s="10" t="n">
        <v>0</v>
      </c>
      <c r="BW7" s="8">
        <f>BU7+BV7</f>
        <v/>
      </c>
      <c r="BX7" s="61" t="n">
        <v>0</v>
      </c>
      <c r="BY7" s="8" t="n">
        <v>0.03</v>
      </c>
      <c r="BZ7" s="12">
        <f>BY7*BX7</f>
        <v/>
      </c>
      <c r="CA7" s="10">
        <f>BW7-BZ7</f>
        <v/>
      </c>
      <c r="CB7" s="11">
        <f>CA7</f>
        <v/>
      </c>
      <c r="CC7" s="10">
        <f>BR7+CB7</f>
        <v/>
      </c>
      <c r="CE7" s="3" t="n">
        <v>3</v>
      </c>
      <c r="CF7" s="18">
        <f>BT7</f>
        <v/>
      </c>
      <c r="CG7" s="8">
        <f>CN6</f>
        <v/>
      </c>
      <c r="CH7" s="10" t="n">
        <v>0</v>
      </c>
      <c r="CI7" s="8">
        <f>CG7+CH7</f>
        <v/>
      </c>
      <c r="CJ7" s="61" t="n">
        <v>0</v>
      </c>
      <c r="CK7" s="8" t="n">
        <v>0.02</v>
      </c>
      <c r="CL7" s="10">
        <f>CJ7*CK7</f>
        <v/>
      </c>
      <c r="CM7" s="10">
        <f>CI7-CL7</f>
        <v/>
      </c>
      <c r="CN7" s="11">
        <f>CM7</f>
        <v/>
      </c>
      <c r="CO7" s="3" t="n">
        <v>3</v>
      </c>
      <c r="CP7" s="18">
        <f>CF7</f>
        <v/>
      </c>
      <c r="CQ7" s="8">
        <f>CX6</f>
        <v/>
      </c>
      <c r="CR7" s="10" t="n">
        <v>0</v>
      </c>
      <c r="CS7" s="8">
        <f>CQ7+CR7</f>
        <v/>
      </c>
      <c r="CT7" s="61" t="n">
        <v>0</v>
      </c>
      <c r="CU7" s="8" t="n">
        <v>0.03</v>
      </c>
      <c r="CV7" s="12">
        <f>CU7*CT7</f>
        <v/>
      </c>
      <c r="CW7" s="10">
        <f>CS7-CV7</f>
        <v/>
      </c>
      <c r="CX7" s="11">
        <f>CW7</f>
        <v/>
      </c>
      <c r="CY7" s="10">
        <f>CN7+CX7</f>
        <v/>
      </c>
      <c r="DA7" s="3" t="n">
        <v>3</v>
      </c>
      <c r="DB7" s="18">
        <f>CP7</f>
        <v/>
      </c>
      <c r="DC7" s="8">
        <f>DJ6</f>
        <v/>
      </c>
      <c r="DD7" s="10" t="n">
        <v>0</v>
      </c>
      <c r="DE7" s="8">
        <f>DC7+DD7</f>
        <v/>
      </c>
      <c r="DF7" s="61">
        <f>K7</f>
        <v/>
      </c>
      <c r="DG7" s="106" t="n">
        <v>0.0001</v>
      </c>
      <c r="DH7" s="10">
        <f>DF7*DG7</f>
        <v/>
      </c>
      <c r="DI7" s="10">
        <f>DE7-DH7</f>
        <v/>
      </c>
      <c r="DJ7" s="11">
        <f>DI7</f>
        <v/>
      </c>
      <c r="DK7" s="3" t="n">
        <v>3</v>
      </c>
      <c r="DL7" s="18">
        <f>DB7</f>
        <v/>
      </c>
      <c r="DM7" s="8">
        <f>DT6</f>
        <v/>
      </c>
      <c r="DN7" s="10" t="n">
        <v>0</v>
      </c>
      <c r="DO7" s="8">
        <f>DM7+DN7</f>
        <v/>
      </c>
      <c r="DP7" s="61">
        <f>L7</f>
        <v/>
      </c>
      <c r="DQ7" s="106" t="n">
        <v>0.0003</v>
      </c>
      <c r="DR7" s="12">
        <f>DQ7*DP7</f>
        <v/>
      </c>
      <c r="DS7" s="10">
        <f>DO7-DR7</f>
        <v/>
      </c>
      <c r="DT7" s="11">
        <f>DS7</f>
        <v/>
      </c>
      <c r="DU7" s="10">
        <f>DJ7+DT7</f>
        <v/>
      </c>
      <c r="DW7" s="3" t="n">
        <v>3</v>
      </c>
      <c r="DX7" s="18">
        <f>DL7</f>
        <v/>
      </c>
      <c r="DY7" s="8">
        <f>EF6</f>
        <v/>
      </c>
      <c r="DZ7" s="10" t="n">
        <v>0</v>
      </c>
      <c r="EA7" s="8">
        <f>DY7+DZ7</f>
        <v/>
      </c>
      <c r="EB7" s="61">
        <f>K7</f>
        <v/>
      </c>
      <c r="EC7" s="106" t="n">
        <v>0.0002</v>
      </c>
      <c r="ED7" s="10">
        <f>EB7*EC7</f>
        <v/>
      </c>
      <c r="EE7" s="10">
        <f>EA7-ED7</f>
        <v/>
      </c>
      <c r="EF7" s="11">
        <f>EE7</f>
        <v/>
      </c>
      <c r="EG7" s="3" t="n">
        <v>3</v>
      </c>
      <c r="EH7" s="18">
        <f>DX7</f>
        <v/>
      </c>
      <c r="EI7" s="8">
        <f>EP6</f>
        <v/>
      </c>
      <c r="EJ7" s="10" t="n">
        <v>0</v>
      </c>
      <c r="EK7" s="8">
        <f>EI7+EJ7</f>
        <v/>
      </c>
      <c r="EL7" s="61">
        <f>L7</f>
        <v/>
      </c>
      <c r="EM7" s="106" t="n">
        <v>0.0005999999999999999</v>
      </c>
      <c r="EN7" s="12">
        <f>EM7*EL7</f>
        <v/>
      </c>
      <c r="EO7" s="10">
        <f>EK7-EN7</f>
        <v/>
      </c>
      <c r="EP7" s="11">
        <f>EO7</f>
        <v/>
      </c>
      <c r="EQ7" s="10">
        <f>EF7+EP7</f>
        <v/>
      </c>
      <c r="ES7" s="3" t="n">
        <v>3</v>
      </c>
      <c r="ET7" s="18">
        <f>EH7</f>
        <v/>
      </c>
      <c r="EU7" s="8">
        <f>FB6</f>
        <v/>
      </c>
      <c r="EV7" s="10" t="n">
        <v>0</v>
      </c>
      <c r="EW7" s="8">
        <f>EU7+EV7</f>
        <v/>
      </c>
      <c r="EX7" s="61">
        <f>K7</f>
        <v/>
      </c>
      <c r="EY7" s="107" t="n">
        <v>0.002</v>
      </c>
      <c r="EZ7" s="10">
        <f>EX7*EY7</f>
        <v/>
      </c>
      <c r="FA7" s="10">
        <f>EW7-EZ7</f>
        <v/>
      </c>
      <c r="FB7" s="11">
        <f>FA7</f>
        <v/>
      </c>
      <c r="FC7" s="3" t="n">
        <v>3</v>
      </c>
      <c r="FD7" s="18">
        <f>ET7</f>
        <v/>
      </c>
      <c r="FE7" s="8">
        <f>FL6</f>
        <v/>
      </c>
      <c r="FF7" s="10" t="n">
        <v>0</v>
      </c>
      <c r="FG7" s="8">
        <f>FE7+FF7</f>
        <v/>
      </c>
      <c r="FH7" s="61">
        <f>L7</f>
        <v/>
      </c>
      <c r="FI7" s="107" t="n">
        <v>0.0025</v>
      </c>
      <c r="FJ7" s="12">
        <f>FI7*FH7</f>
        <v/>
      </c>
      <c r="FK7" s="10">
        <f>FG7-FJ7</f>
        <v/>
      </c>
      <c r="FL7" s="11">
        <f>FK7</f>
        <v/>
      </c>
      <c r="FM7" s="10">
        <f>FB7+FL7</f>
        <v/>
      </c>
      <c r="FO7" s="3" t="n">
        <v>3</v>
      </c>
      <c r="FP7" s="18">
        <f>FD7</f>
        <v/>
      </c>
      <c r="FQ7" s="8">
        <f>FX6</f>
        <v/>
      </c>
      <c r="FR7" s="10" t="n">
        <v>0</v>
      </c>
      <c r="FS7" s="8">
        <f>FQ7+FR7</f>
        <v/>
      </c>
      <c r="FT7" s="61">
        <f>K7</f>
        <v/>
      </c>
      <c r="FU7" s="8" t="n">
        <v>0.002</v>
      </c>
      <c r="FV7" s="10">
        <f>FT7*FU7</f>
        <v/>
      </c>
      <c r="FW7" s="10">
        <f>FS7-FV7</f>
        <v/>
      </c>
      <c r="FX7" s="11">
        <f>FW7</f>
        <v/>
      </c>
      <c r="FY7" s="3" t="n">
        <v>3</v>
      </c>
      <c r="FZ7" s="18">
        <f>FP7</f>
        <v/>
      </c>
      <c r="GA7" s="8">
        <f>GH6</f>
        <v/>
      </c>
      <c r="GB7" s="10" t="n">
        <v>0</v>
      </c>
      <c r="GC7" s="8">
        <f>GA7+GB7</f>
        <v/>
      </c>
      <c r="GD7" s="61">
        <f>L7</f>
        <v/>
      </c>
      <c r="GE7" s="8" t="n">
        <v>0.005</v>
      </c>
      <c r="GF7" s="12">
        <f>GE7*GD7</f>
        <v/>
      </c>
      <c r="GG7" s="10">
        <f>GC7-GF7</f>
        <v/>
      </c>
      <c r="GH7" s="11">
        <f>GG7</f>
        <v/>
      </c>
      <c r="GI7" s="10">
        <f>FX7+GH7</f>
        <v/>
      </c>
      <c r="GK7" s="3" t="n">
        <v>3</v>
      </c>
      <c r="GL7" s="18">
        <f>FZ7</f>
        <v/>
      </c>
      <c r="GM7" s="8">
        <f>GT6</f>
        <v/>
      </c>
      <c r="GN7" s="10" t="n">
        <v>0</v>
      </c>
      <c r="GO7" s="8">
        <f>GM7+GN7</f>
        <v/>
      </c>
      <c r="GP7" s="61">
        <f>K7</f>
        <v/>
      </c>
      <c r="GQ7" s="8" t="n">
        <v>0.005</v>
      </c>
      <c r="GR7" s="10">
        <f>GP7*GQ7</f>
        <v/>
      </c>
      <c r="GS7" s="10">
        <f>GO7-GR7</f>
        <v/>
      </c>
      <c r="GT7" s="11">
        <f>GS7</f>
        <v/>
      </c>
      <c r="GU7" s="3" t="n">
        <v>3</v>
      </c>
      <c r="GV7" s="18">
        <f>GL7</f>
        <v/>
      </c>
      <c r="GW7" s="8">
        <f>HD6</f>
        <v/>
      </c>
      <c r="GX7" s="10" t="n">
        <v>0</v>
      </c>
      <c r="GY7" s="8">
        <f>GW7+GX7</f>
        <v/>
      </c>
      <c r="GZ7" s="61">
        <f>L7</f>
        <v/>
      </c>
      <c r="HA7" s="8" t="n">
        <v>0.0075</v>
      </c>
      <c r="HB7" s="12">
        <f>HA7*GZ7</f>
        <v/>
      </c>
      <c r="HC7" s="10">
        <f>GY7-HB7</f>
        <v/>
      </c>
      <c r="HD7" s="11">
        <f>HC7</f>
        <v/>
      </c>
      <c r="HE7" s="10">
        <f>GT7+HD7</f>
        <v/>
      </c>
      <c r="HG7" s="3" t="n">
        <v>3</v>
      </c>
      <c r="HH7" s="18">
        <f>GV7</f>
        <v/>
      </c>
      <c r="HI7" s="61">
        <f>K7</f>
        <v/>
      </c>
      <c r="HJ7" s="22" t="n">
        <v>1</v>
      </c>
      <c r="HK7" s="23">
        <f>HI7*HJ7</f>
        <v/>
      </c>
      <c r="HL7" s="61" t="n">
        <v>0.89</v>
      </c>
      <c r="HM7" s="23">
        <f>HI7*HL7</f>
        <v/>
      </c>
      <c r="HN7" s="22" t="n">
        <v>0.7</v>
      </c>
      <c r="HO7" s="22">
        <f>HN7*HI7</f>
        <v/>
      </c>
      <c r="HP7" s="22" t="n">
        <v>2.59</v>
      </c>
      <c r="HQ7" s="9">
        <f>HI7*HP7</f>
        <v/>
      </c>
      <c r="HR7" s="3" t="n">
        <v>3</v>
      </c>
      <c r="HS7" s="18" t="n">
        <v>44992</v>
      </c>
      <c r="HT7" s="61">
        <f>L7</f>
        <v/>
      </c>
      <c r="HU7" s="22" t="n">
        <v>1.64</v>
      </c>
      <c r="HV7" s="23">
        <f>HT7*HU7</f>
        <v/>
      </c>
      <c r="HW7" s="61" t="n">
        <v>1.14</v>
      </c>
      <c r="HX7" s="23">
        <f>HT7*HW7</f>
        <v/>
      </c>
      <c r="HY7" s="22" t="n">
        <v>1.1</v>
      </c>
      <c r="HZ7" s="22">
        <f>HY7*HT7</f>
        <v/>
      </c>
      <c r="IA7" s="22" t="n">
        <v>3.11</v>
      </c>
      <c r="IB7" s="9">
        <f>HT7*IA7</f>
        <v/>
      </c>
      <c r="IC7" s="9">
        <f>HK7+HV7</f>
        <v/>
      </c>
      <c r="ID7" s="9">
        <f>HM7+HX7</f>
        <v/>
      </c>
      <c r="IE7" s="9">
        <f>HO7+HZ7</f>
        <v/>
      </c>
      <c r="IF7" s="103" t="n"/>
      <c r="IG7" s="109">
        <f>HH7</f>
        <v/>
      </c>
      <c r="IH7" s="132" t="inlineStr">
        <is>
          <t xml:space="preserve"> 'kfuokj</t>
        </is>
      </c>
      <c r="II7" s="140" t="inlineStr">
        <is>
          <t>gjcjk</t>
        </is>
      </c>
      <c r="IJ7" s="105">
        <f>IJ6</f>
        <v/>
      </c>
      <c r="IK7" s="105">
        <f>IJ7</f>
        <v/>
      </c>
      <c r="IL7" s="105">
        <f>K7</f>
        <v/>
      </c>
      <c r="IM7" s="105">
        <f>IL7*100</f>
        <v/>
      </c>
      <c r="IN7" s="105" t="n"/>
      <c r="IO7" s="105" t="n"/>
      <c r="IP7" s="105">
        <f>IL7*20</f>
        <v/>
      </c>
      <c r="IQ7" s="105">
        <f>IL7*0.3</f>
        <v/>
      </c>
      <c r="IR7" s="105">
        <f>IL7*0.4</f>
        <v/>
      </c>
      <c r="IS7" s="105">
        <f>IL7*1.5</f>
        <v/>
      </c>
      <c r="IT7" s="105">
        <f>IL7*5</f>
        <v/>
      </c>
      <c r="IU7" s="105">
        <f>IL7*2</f>
        <v/>
      </c>
      <c r="IV7" s="105">
        <f>IL7*2.08</f>
        <v/>
      </c>
      <c r="IW7" s="105" t="n"/>
      <c r="IX7" s="105">
        <f>IL7*2.08</f>
        <v/>
      </c>
      <c r="IY7" s="105" t="n"/>
      <c r="IZ7" s="109">
        <f>IG7</f>
        <v/>
      </c>
      <c r="JA7" s="132" t="inlineStr">
        <is>
          <t xml:space="preserve"> 'kfuokj</t>
        </is>
      </c>
      <c r="JB7" s="140" t="inlineStr">
        <is>
          <t>gjcjk</t>
        </is>
      </c>
      <c r="JC7" s="105">
        <f>JC6</f>
        <v/>
      </c>
      <c r="JD7" s="105">
        <f>JC7</f>
        <v/>
      </c>
      <c r="JE7" s="105">
        <f>L7</f>
        <v/>
      </c>
      <c r="JF7" s="105">
        <f>JE7*150</f>
        <v/>
      </c>
      <c r="JG7" s="105" t="n"/>
      <c r="JH7" s="105" t="n"/>
      <c r="JI7" s="105">
        <f>JE7*30</f>
        <v/>
      </c>
      <c r="JJ7" s="105">
        <f>JE7*0.25</f>
        <v/>
      </c>
      <c r="JK7" s="105">
        <f>JE7*0.4</f>
        <v/>
      </c>
      <c r="JL7" s="105">
        <f>JE7*2.5</f>
        <v/>
      </c>
      <c r="JM7" s="105">
        <f>JE7*7.5</f>
        <v/>
      </c>
      <c r="JN7" s="105">
        <f>JE7*4</f>
        <v/>
      </c>
      <c r="JO7" s="105">
        <f>JE7*3.11</f>
        <v/>
      </c>
      <c r="JP7" s="105" t="n"/>
      <c r="JQ7" s="105">
        <f>JE7*3.11</f>
        <v/>
      </c>
      <c r="JR7" s="105" t="n"/>
      <c r="JS7" s="103" t="n"/>
      <c r="JT7" s="59" t="n">
        <v>2</v>
      </c>
      <c r="JU7" s="30" t="n"/>
      <c r="JV7" s="38" t="n"/>
      <c r="JW7" s="38" t="n"/>
      <c r="JX7" s="38" t="n"/>
      <c r="JY7" s="56" t="n"/>
      <c r="JZ7" s="103" t="n"/>
      <c r="KA7" s="59" t="n">
        <v>2</v>
      </c>
      <c r="KB7" s="30" t="inlineStr">
        <is>
          <t>eqxnkG</t>
        </is>
      </c>
      <c r="KC7" s="38">
        <f>JV7</f>
        <v/>
      </c>
      <c r="KD7" s="38" t="n">
        <v>0</v>
      </c>
      <c r="KE7" s="38" t="n">
        <v>0</v>
      </c>
      <c r="KF7" s="38" t="n">
        <v>0</v>
      </c>
      <c r="KG7" s="38">
        <f>JW7</f>
        <v/>
      </c>
      <c r="KH7" s="38" t="n">
        <v>0</v>
      </c>
      <c r="KI7" s="38" t="n">
        <v>0</v>
      </c>
      <c r="KJ7" s="72" t="n">
        <v>0</v>
      </c>
    </row>
    <row r="8" ht="35.1" customHeight="1">
      <c r="A8" s="132" t="inlineStr">
        <is>
          <t xml:space="preserve"> 'kfuokj</t>
        </is>
      </c>
      <c r="B8" s="114" t="inlineStr">
        <is>
          <t>04/04/2026</t>
        </is>
      </c>
      <c r="C8" s="108" t="n">
        <v>0</v>
      </c>
      <c r="D8" s="108">
        <f>C8</f>
        <v/>
      </c>
      <c r="E8" s="108" t="n">
        <v>0</v>
      </c>
      <c r="F8" s="108" t="n">
        <v>0</v>
      </c>
      <c r="G8" s="108" t="n">
        <v>0</v>
      </c>
      <c r="H8" s="108">
        <f>G8+F8+E8</f>
        <v/>
      </c>
      <c r="I8" s="132" t="inlineStr">
        <is>
          <t xml:space="preserve"> 'kfuokj</t>
        </is>
      </c>
      <c r="J8" s="114" t="inlineStr">
        <is>
          <t>04/04/2026</t>
        </is>
      </c>
      <c r="K8" s="61">
        <f>D8</f>
        <v/>
      </c>
      <c r="L8" s="61">
        <f>H8</f>
        <v/>
      </c>
      <c r="M8" s="61">
        <f>SUM(K8:L8)</f>
        <v/>
      </c>
      <c r="N8" s="140" t="inlineStr">
        <is>
          <t>gjcjk</t>
        </is>
      </c>
      <c r="O8" s="89" t="n"/>
      <c r="Q8" s="3" t="n">
        <v>4</v>
      </c>
      <c r="R8" s="114" t="inlineStr">
        <is>
          <t>04/04/2026</t>
        </is>
      </c>
      <c r="S8" s="11">
        <f>Z7</f>
        <v/>
      </c>
      <c r="T8" s="10" t="n">
        <v>0</v>
      </c>
      <c r="U8" s="8">
        <f>S8+T8</f>
        <v/>
      </c>
      <c r="V8" s="61">
        <f>K8</f>
        <v/>
      </c>
      <c r="W8" s="8" t="n">
        <v>0.1</v>
      </c>
      <c r="X8" s="10">
        <f>V8*W8</f>
        <v/>
      </c>
      <c r="Y8" s="10">
        <f>U8-X8</f>
        <v/>
      </c>
      <c r="Z8" s="11">
        <f>Y8</f>
        <v/>
      </c>
      <c r="AA8" s="3" t="n">
        <v>4</v>
      </c>
      <c r="AB8" s="18">
        <f>R8</f>
        <v/>
      </c>
      <c r="AC8" s="8">
        <f>AJ7</f>
        <v/>
      </c>
      <c r="AD8" s="10" t="n">
        <v>0</v>
      </c>
      <c r="AE8" s="8">
        <f>AC8+AD8</f>
        <v/>
      </c>
      <c r="AF8" s="61">
        <f>L8</f>
        <v/>
      </c>
      <c r="AG8" s="8" t="n">
        <v>0.15</v>
      </c>
      <c r="AH8" s="12">
        <f>AG8*AF8</f>
        <v/>
      </c>
      <c r="AI8" s="10">
        <f>AE8-AH8</f>
        <v/>
      </c>
      <c r="AJ8" s="11">
        <f>AI8</f>
        <v/>
      </c>
      <c r="AK8" s="10">
        <f>Z8+AJ8</f>
        <v/>
      </c>
      <c r="AM8" s="3" t="n">
        <v>4</v>
      </c>
      <c r="AN8" s="18">
        <f>AB8</f>
        <v/>
      </c>
      <c r="AO8" s="8">
        <f>AV7</f>
        <v/>
      </c>
      <c r="AP8" s="10" t="n">
        <v>0</v>
      </c>
      <c r="AQ8" s="8">
        <f>AO8+AP8</f>
        <v/>
      </c>
      <c r="AR8" s="61">
        <f>K8</f>
        <v/>
      </c>
      <c r="AS8" s="8" t="n">
        <v>0.02</v>
      </c>
      <c r="AT8" s="10">
        <f>AR8*AS8</f>
        <v/>
      </c>
      <c r="AU8" s="10">
        <f>AQ8-AT8</f>
        <v/>
      </c>
      <c r="AV8" s="11">
        <f>AU8</f>
        <v/>
      </c>
      <c r="AW8" s="3" t="n">
        <v>4</v>
      </c>
      <c r="AX8" s="18">
        <f>AN8</f>
        <v/>
      </c>
      <c r="AY8" s="8">
        <f>BF7</f>
        <v/>
      </c>
      <c r="AZ8" s="10" t="n">
        <v>0</v>
      </c>
      <c r="BA8" s="8">
        <f>AY8+AZ8</f>
        <v/>
      </c>
      <c r="BB8" s="61">
        <f>L8</f>
        <v/>
      </c>
      <c r="BC8" s="8" t="n">
        <v>0.03</v>
      </c>
      <c r="BD8" s="12">
        <f>BC8*BB8</f>
        <v/>
      </c>
      <c r="BE8" s="10">
        <f>BA8-BD8</f>
        <v/>
      </c>
      <c r="BF8" s="11">
        <f>BE8</f>
        <v/>
      </c>
      <c r="BG8" s="10">
        <f>AV8+BF8</f>
        <v/>
      </c>
      <c r="BI8" s="3" t="n">
        <v>4</v>
      </c>
      <c r="BJ8" s="18">
        <f>AX8</f>
        <v/>
      </c>
      <c r="BK8" s="8">
        <f>BR7</f>
        <v/>
      </c>
      <c r="BL8" s="10" t="n">
        <v>0</v>
      </c>
      <c r="BM8" s="8">
        <f>BK8+BL8</f>
        <v/>
      </c>
      <c r="BN8" s="61" t="n">
        <v>0</v>
      </c>
      <c r="BO8" s="8" t="n">
        <v>0.02</v>
      </c>
      <c r="BP8" s="10">
        <f>BN8*BO8</f>
        <v/>
      </c>
      <c r="BQ8" s="10">
        <f>BM8-BP8</f>
        <v/>
      </c>
      <c r="BR8" s="11">
        <f>BQ8</f>
        <v/>
      </c>
      <c r="BS8" s="3" t="n">
        <v>4</v>
      </c>
      <c r="BT8" s="18">
        <f>BJ8</f>
        <v/>
      </c>
      <c r="BU8" s="8">
        <f>CB7</f>
        <v/>
      </c>
      <c r="BV8" s="10" t="n">
        <v>0</v>
      </c>
      <c r="BW8" s="8">
        <f>BU8+BV8</f>
        <v/>
      </c>
      <c r="BX8" s="61" t="n">
        <v>0</v>
      </c>
      <c r="BY8" s="8" t="n">
        <v>0.03</v>
      </c>
      <c r="BZ8" s="12">
        <f>BY8*BX8</f>
        <v/>
      </c>
      <c r="CA8" s="10">
        <f>BW8-BZ8</f>
        <v/>
      </c>
      <c r="CB8" s="11">
        <f>CA8</f>
        <v/>
      </c>
      <c r="CC8" s="10">
        <f>BR8+CB8</f>
        <v/>
      </c>
      <c r="CE8" s="3" t="n">
        <v>4</v>
      </c>
      <c r="CF8" s="18">
        <f>BT8</f>
        <v/>
      </c>
      <c r="CG8" s="8">
        <f>CN7</f>
        <v/>
      </c>
      <c r="CH8" s="10" t="n">
        <v>0</v>
      </c>
      <c r="CI8" s="8">
        <f>CG8+CH8</f>
        <v/>
      </c>
      <c r="CJ8" s="61" t="n">
        <v>0</v>
      </c>
      <c r="CK8" s="8" t="n">
        <v>0.02</v>
      </c>
      <c r="CL8" s="10">
        <f>CJ8*CK8</f>
        <v/>
      </c>
      <c r="CM8" s="10">
        <f>CI8-CL8</f>
        <v/>
      </c>
      <c r="CN8" s="11">
        <f>CM8</f>
        <v/>
      </c>
      <c r="CO8" s="3" t="n">
        <v>4</v>
      </c>
      <c r="CP8" s="18">
        <f>CF8</f>
        <v/>
      </c>
      <c r="CQ8" s="8">
        <f>CX7</f>
        <v/>
      </c>
      <c r="CR8" s="10" t="n">
        <v>0</v>
      </c>
      <c r="CS8" s="8">
        <f>CQ8+CR8</f>
        <v/>
      </c>
      <c r="CT8" s="61" t="n">
        <v>0</v>
      </c>
      <c r="CU8" s="8" t="n">
        <v>0.03</v>
      </c>
      <c r="CV8" s="12">
        <f>CU8*CT8</f>
        <v/>
      </c>
      <c r="CW8" s="10">
        <f>CS8-CV8</f>
        <v/>
      </c>
      <c r="CX8" s="11">
        <f>CW8</f>
        <v/>
      </c>
      <c r="CY8" s="10">
        <f>CN8+CX8</f>
        <v/>
      </c>
      <c r="DA8" s="3" t="n">
        <v>4</v>
      </c>
      <c r="DB8" s="18">
        <f>CP8</f>
        <v/>
      </c>
      <c r="DC8" s="8">
        <f>DJ7</f>
        <v/>
      </c>
      <c r="DD8" s="10" t="n">
        <v>0</v>
      </c>
      <c r="DE8" s="8">
        <f>DC8+DD8</f>
        <v/>
      </c>
      <c r="DF8" s="61">
        <f>K8</f>
        <v/>
      </c>
      <c r="DG8" s="106" t="n">
        <v>0.0001</v>
      </c>
      <c r="DH8" s="10">
        <f>DF8*DG8</f>
        <v/>
      </c>
      <c r="DI8" s="10">
        <f>DE8-DH8</f>
        <v/>
      </c>
      <c r="DJ8" s="11">
        <f>DI8</f>
        <v/>
      </c>
      <c r="DK8" s="3" t="n">
        <v>4</v>
      </c>
      <c r="DL8" s="18">
        <f>DB8</f>
        <v/>
      </c>
      <c r="DM8" s="8">
        <f>DT7</f>
        <v/>
      </c>
      <c r="DN8" s="10" t="n">
        <v>0</v>
      </c>
      <c r="DO8" s="8">
        <f>DM8+DN8</f>
        <v/>
      </c>
      <c r="DP8" s="61">
        <f>L8</f>
        <v/>
      </c>
      <c r="DQ8" s="106" t="n">
        <v>0.0003</v>
      </c>
      <c r="DR8" s="12">
        <f>DQ8*DP8</f>
        <v/>
      </c>
      <c r="DS8" s="10">
        <f>DO8-DR8</f>
        <v/>
      </c>
      <c r="DT8" s="11">
        <f>DS8</f>
        <v/>
      </c>
      <c r="DU8" s="10">
        <f>DJ8+DT8</f>
        <v/>
      </c>
      <c r="DW8" s="3" t="n">
        <v>4</v>
      </c>
      <c r="DX8" s="18">
        <f>DL8</f>
        <v/>
      </c>
      <c r="DY8" s="8">
        <f>EF7</f>
        <v/>
      </c>
      <c r="DZ8" s="10" t="n">
        <v>0</v>
      </c>
      <c r="EA8" s="8">
        <f>DY8+DZ8</f>
        <v/>
      </c>
      <c r="EB8" s="61">
        <f>K8</f>
        <v/>
      </c>
      <c r="EC8" s="106" t="n">
        <v>0.0002</v>
      </c>
      <c r="ED8" s="10">
        <f>EB8*EC8</f>
        <v/>
      </c>
      <c r="EE8" s="10">
        <f>EA8-ED8</f>
        <v/>
      </c>
      <c r="EF8" s="11">
        <f>EE8</f>
        <v/>
      </c>
      <c r="EG8" s="3" t="n">
        <v>4</v>
      </c>
      <c r="EH8" s="18">
        <f>DX8</f>
        <v/>
      </c>
      <c r="EI8" s="8">
        <f>EP7</f>
        <v/>
      </c>
      <c r="EJ8" s="10" t="n">
        <v>0</v>
      </c>
      <c r="EK8" s="8">
        <f>EI8+EJ8</f>
        <v/>
      </c>
      <c r="EL8" s="61">
        <f>L8</f>
        <v/>
      </c>
      <c r="EM8" s="106" t="n">
        <v>0.0005999999999999999</v>
      </c>
      <c r="EN8" s="12">
        <f>EM8*EL8</f>
        <v/>
      </c>
      <c r="EO8" s="10">
        <f>EK8-EN8</f>
        <v/>
      </c>
      <c r="EP8" s="11">
        <f>EO8</f>
        <v/>
      </c>
      <c r="EQ8" s="10">
        <f>EF8+EP8</f>
        <v/>
      </c>
      <c r="ES8" s="3" t="n">
        <v>4</v>
      </c>
      <c r="ET8" s="18">
        <f>EH8</f>
        <v/>
      </c>
      <c r="EU8" s="8">
        <f>FB7</f>
        <v/>
      </c>
      <c r="EV8" s="10" t="n">
        <v>0</v>
      </c>
      <c r="EW8" s="8">
        <f>EU8+EV8</f>
        <v/>
      </c>
      <c r="EX8" s="61">
        <f>K8</f>
        <v/>
      </c>
      <c r="EY8" s="107" t="n">
        <v>0.002</v>
      </c>
      <c r="EZ8" s="10">
        <f>EX8*EY8</f>
        <v/>
      </c>
      <c r="FA8" s="10">
        <f>EW8-EZ8</f>
        <v/>
      </c>
      <c r="FB8" s="11">
        <f>FA8</f>
        <v/>
      </c>
      <c r="FC8" s="3" t="n">
        <v>4</v>
      </c>
      <c r="FD8" s="18">
        <f>ET8</f>
        <v/>
      </c>
      <c r="FE8" s="8">
        <f>FL7</f>
        <v/>
      </c>
      <c r="FF8" s="10" t="n">
        <v>0</v>
      </c>
      <c r="FG8" s="8">
        <f>FE8+FF8</f>
        <v/>
      </c>
      <c r="FH8" s="61">
        <f>L8</f>
        <v/>
      </c>
      <c r="FI8" s="107" t="n">
        <v>0.0025</v>
      </c>
      <c r="FJ8" s="12">
        <f>FI8*FH8</f>
        <v/>
      </c>
      <c r="FK8" s="10">
        <f>FG8-FJ8</f>
        <v/>
      </c>
      <c r="FL8" s="11">
        <f>FK8</f>
        <v/>
      </c>
      <c r="FM8" s="10">
        <f>FB8+FL8</f>
        <v/>
      </c>
      <c r="FO8" s="3" t="n">
        <v>4</v>
      </c>
      <c r="FP8" s="18">
        <f>FD8</f>
        <v/>
      </c>
      <c r="FQ8" s="8">
        <f>FX7</f>
        <v/>
      </c>
      <c r="FR8" s="10" t="n">
        <v>0</v>
      </c>
      <c r="FS8" s="8">
        <f>FQ8+FR8</f>
        <v/>
      </c>
      <c r="FT8" s="61">
        <f>K8</f>
        <v/>
      </c>
      <c r="FU8" s="8" t="n">
        <v>0.002</v>
      </c>
      <c r="FV8" s="10">
        <f>FT8*FU8</f>
        <v/>
      </c>
      <c r="FW8" s="10">
        <f>FS8-FV8</f>
        <v/>
      </c>
      <c r="FX8" s="11">
        <f>FW8</f>
        <v/>
      </c>
      <c r="FY8" s="3" t="n">
        <v>4</v>
      </c>
      <c r="FZ8" s="18">
        <f>FP8</f>
        <v/>
      </c>
      <c r="GA8" s="8">
        <f>GH7</f>
        <v/>
      </c>
      <c r="GB8" s="10" t="n">
        <v>0</v>
      </c>
      <c r="GC8" s="8">
        <f>GA8+GB8</f>
        <v/>
      </c>
      <c r="GD8" s="61">
        <f>L8</f>
        <v/>
      </c>
      <c r="GE8" s="8" t="n">
        <v>0.005</v>
      </c>
      <c r="GF8" s="12">
        <f>GE8*GD8</f>
        <v/>
      </c>
      <c r="GG8" s="10">
        <f>GC8-GF8</f>
        <v/>
      </c>
      <c r="GH8" s="11">
        <f>GG8</f>
        <v/>
      </c>
      <c r="GI8" s="10">
        <f>FX8+GH8</f>
        <v/>
      </c>
      <c r="GK8" s="3" t="n">
        <v>4</v>
      </c>
      <c r="GL8" s="18">
        <f>FZ8</f>
        <v/>
      </c>
      <c r="GM8" s="8">
        <f>GT7</f>
        <v/>
      </c>
      <c r="GN8" s="10" t="n">
        <v>0</v>
      </c>
      <c r="GO8" s="8">
        <f>GM8+GN8</f>
        <v/>
      </c>
      <c r="GP8" s="61">
        <f>K8</f>
        <v/>
      </c>
      <c r="GQ8" s="8" t="n">
        <v>0.005</v>
      </c>
      <c r="GR8" s="10">
        <f>GP8*GQ8</f>
        <v/>
      </c>
      <c r="GS8" s="10">
        <f>GO8-GR8</f>
        <v/>
      </c>
      <c r="GT8" s="11">
        <f>GS8</f>
        <v/>
      </c>
      <c r="GU8" s="3" t="n">
        <v>4</v>
      </c>
      <c r="GV8" s="18">
        <f>GL8</f>
        <v/>
      </c>
      <c r="GW8" s="8">
        <f>HD7</f>
        <v/>
      </c>
      <c r="GX8" s="10" t="n">
        <v>0</v>
      </c>
      <c r="GY8" s="8">
        <f>GW8+GX8</f>
        <v/>
      </c>
      <c r="GZ8" s="61">
        <f>L8</f>
        <v/>
      </c>
      <c r="HA8" s="8" t="n">
        <v>0.0075</v>
      </c>
      <c r="HB8" s="12">
        <f>HA8*GZ8</f>
        <v/>
      </c>
      <c r="HC8" s="10">
        <f>GY8-HB8</f>
        <v/>
      </c>
      <c r="HD8" s="11">
        <f>HC8</f>
        <v/>
      </c>
      <c r="HE8" s="10">
        <f>GT8+HD8</f>
        <v/>
      </c>
      <c r="HG8" s="3" t="n">
        <v>4</v>
      </c>
      <c r="HH8" s="18">
        <f>GV8</f>
        <v/>
      </c>
      <c r="HI8" s="61">
        <f>K8</f>
        <v/>
      </c>
      <c r="HJ8" s="22" t="n">
        <v>1</v>
      </c>
      <c r="HK8" s="23">
        <f>HI8*HJ8</f>
        <v/>
      </c>
      <c r="HL8" s="61" t="n">
        <v>0.89</v>
      </c>
      <c r="HM8" s="23">
        <f>HI8*HL8</f>
        <v/>
      </c>
      <c r="HN8" s="22" t="n">
        <v>0.7</v>
      </c>
      <c r="HO8" s="22">
        <f>HN8*HI8</f>
        <v/>
      </c>
      <c r="HP8" s="22" t="n">
        <v>2.59</v>
      </c>
      <c r="HQ8" s="9">
        <f>HI8*HP8</f>
        <v/>
      </c>
      <c r="HR8" s="3" t="n">
        <v>4</v>
      </c>
      <c r="HS8" s="18" t="n">
        <v>45023</v>
      </c>
      <c r="HT8" s="61">
        <f>L8</f>
        <v/>
      </c>
      <c r="HU8" s="22" t="n">
        <v>1.64</v>
      </c>
      <c r="HV8" s="23">
        <f>HT8*HU8</f>
        <v/>
      </c>
      <c r="HW8" s="61" t="n">
        <v>1.14</v>
      </c>
      <c r="HX8" s="23">
        <f>HT8*HW8</f>
        <v/>
      </c>
      <c r="HY8" s="22" t="n">
        <v>1.1</v>
      </c>
      <c r="HZ8" s="22">
        <f>HY8*HT8</f>
        <v/>
      </c>
      <c r="IA8" s="22" t="n">
        <v>3.11</v>
      </c>
      <c r="IB8" s="9">
        <f>HT8*IA8</f>
        <v/>
      </c>
      <c r="IC8" s="9">
        <f>HK8+HV8</f>
        <v/>
      </c>
      <c r="ID8" s="9">
        <f>HM8+HX8</f>
        <v/>
      </c>
      <c r="IE8" s="9">
        <f>HO8+HZ8</f>
        <v/>
      </c>
      <c r="IF8" s="103" t="n"/>
      <c r="IG8" s="109">
        <f>HH8</f>
        <v/>
      </c>
      <c r="IH8" s="132" t="inlineStr">
        <is>
          <t>jfookj</t>
        </is>
      </c>
      <c r="II8" s="140" t="n"/>
      <c r="IJ8" s="105">
        <f>IJ7</f>
        <v/>
      </c>
      <c r="IK8" s="105">
        <f>IJ8</f>
        <v/>
      </c>
      <c r="IL8" s="105">
        <f>K8</f>
        <v/>
      </c>
      <c r="IM8" s="105">
        <f>IL8*100</f>
        <v/>
      </c>
      <c r="IN8" s="105">
        <f>IL8*20</f>
        <v/>
      </c>
      <c r="IO8" s="105" t="n"/>
      <c r="IP8" s="105" t="n"/>
      <c r="IQ8" s="105">
        <f>IL8*0.3</f>
        <v/>
      </c>
      <c r="IR8" s="105">
        <f>IL8*0.4</f>
        <v/>
      </c>
      <c r="IS8" s="105">
        <f>IL8*1.5</f>
        <v/>
      </c>
      <c r="IT8" s="105">
        <f>IL8*5</f>
        <v/>
      </c>
      <c r="IU8" s="105">
        <f>IL8*2</f>
        <v/>
      </c>
      <c r="IV8" s="105">
        <f>IL8*2.08</f>
        <v/>
      </c>
      <c r="IW8" s="105" t="n"/>
      <c r="IX8" s="105">
        <f>IL8*2.08</f>
        <v/>
      </c>
      <c r="IY8" s="105" t="n"/>
      <c r="IZ8" s="109">
        <f>IG8</f>
        <v/>
      </c>
      <c r="JA8" s="132" t="inlineStr">
        <is>
          <t>jfookj</t>
        </is>
      </c>
      <c r="JB8" s="140" t="n"/>
      <c r="JC8" s="105">
        <f>JC7</f>
        <v/>
      </c>
      <c r="JD8" s="105">
        <f>JC8</f>
        <v/>
      </c>
      <c r="JE8" s="105">
        <f>L8</f>
        <v/>
      </c>
      <c r="JF8" s="105">
        <f>JE8*150</f>
        <v/>
      </c>
      <c r="JG8" s="105">
        <f>JE8*30</f>
        <v/>
      </c>
      <c r="JH8" s="105" t="n"/>
      <c r="JI8" s="105" t="n"/>
      <c r="JJ8" s="105">
        <f>JE8*0.25</f>
        <v/>
      </c>
      <c r="JK8" s="105">
        <f>JE8*0.4</f>
        <v/>
      </c>
      <c r="JL8" s="105">
        <f>JE8*2.5</f>
        <v/>
      </c>
      <c r="JM8" s="105">
        <f>JE8*7.5</f>
        <v/>
      </c>
      <c r="JN8" s="105">
        <f>JE8*4</f>
        <v/>
      </c>
      <c r="JO8" s="105">
        <f>JE8*3.11</f>
        <v/>
      </c>
      <c r="JP8" s="105" t="n"/>
      <c r="JQ8" s="105">
        <f>JE8*3.11</f>
        <v/>
      </c>
      <c r="JR8" s="105" t="n"/>
      <c r="JS8" s="103" t="n"/>
      <c r="JT8" s="59" t="n">
        <v>3</v>
      </c>
      <c r="JU8" s="30" t="inlineStr">
        <is>
          <t>elqjnkG</t>
        </is>
      </c>
      <c r="JV8" s="38">
        <f>BR35</f>
        <v/>
      </c>
      <c r="JW8" s="38">
        <f>CB35</f>
        <v/>
      </c>
      <c r="JX8" s="38">
        <f>SUM(JV8:JW8)</f>
        <v/>
      </c>
      <c r="JY8" s="56" t="n"/>
      <c r="JZ8" s="103" t="n"/>
      <c r="KA8" s="59" t="n">
        <v>3</v>
      </c>
      <c r="KB8" s="30" t="inlineStr">
        <is>
          <t>elqjnkG</t>
        </is>
      </c>
      <c r="KC8" s="38">
        <f>JV8</f>
        <v/>
      </c>
      <c r="KD8" s="38">
        <f>BL36</f>
        <v/>
      </c>
      <c r="KE8" s="38">
        <f>BP36</f>
        <v/>
      </c>
      <c r="KF8" s="38" t="n"/>
      <c r="KG8" s="38">
        <f>JW8</f>
        <v/>
      </c>
      <c r="KH8" s="38">
        <f>BV36</f>
        <v/>
      </c>
      <c r="KI8" s="38">
        <f>BZ36</f>
        <v/>
      </c>
      <c r="KJ8" s="72" t="n"/>
    </row>
    <row r="9" ht="35.1" customHeight="1">
      <c r="A9" s="132" t="inlineStr">
        <is>
          <t>jfookj</t>
        </is>
      </c>
      <c r="B9" s="114" t="inlineStr">
        <is>
          <t>05/04/2026</t>
        </is>
      </c>
      <c r="C9" s="108" t="n">
        <v>0</v>
      </c>
      <c r="D9" s="108">
        <f>C9</f>
        <v/>
      </c>
      <c r="E9" s="108" t="n">
        <v>0</v>
      </c>
      <c r="F9" s="108" t="n">
        <v>0</v>
      </c>
      <c r="G9" s="108" t="n">
        <v>0</v>
      </c>
      <c r="H9" s="108">
        <f>G9+F9+E9</f>
        <v/>
      </c>
      <c r="I9" s="132" t="inlineStr">
        <is>
          <t>jfookj</t>
        </is>
      </c>
      <c r="J9" s="114" t="inlineStr">
        <is>
          <t>05/04/2026</t>
        </is>
      </c>
      <c r="K9" s="61">
        <f>D9</f>
        <v/>
      </c>
      <c r="L9" s="61">
        <f>H9</f>
        <v/>
      </c>
      <c r="M9" s="61">
        <f>SUM(K9:L9)</f>
        <v/>
      </c>
      <c r="N9" s="140" t="n"/>
      <c r="O9" s="89" t="n"/>
      <c r="Q9" s="3" t="n">
        <v>5</v>
      </c>
      <c r="R9" s="114" t="inlineStr">
        <is>
          <t>05/04/2026</t>
        </is>
      </c>
      <c r="S9" s="11">
        <f>Z8</f>
        <v/>
      </c>
      <c r="T9" s="10" t="n">
        <v>0</v>
      </c>
      <c r="U9" s="8">
        <f>S9+T9</f>
        <v/>
      </c>
      <c r="V9" s="61">
        <f>K9</f>
        <v/>
      </c>
      <c r="W9" s="8" t="n">
        <v>0.1</v>
      </c>
      <c r="X9" s="10">
        <f>V9*W9</f>
        <v/>
      </c>
      <c r="Y9" s="10">
        <f>U9-X9</f>
        <v/>
      </c>
      <c r="Z9" s="11">
        <f>Y9</f>
        <v/>
      </c>
      <c r="AA9" s="3" t="n">
        <v>5</v>
      </c>
      <c r="AB9" s="18">
        <f>R9</f>
        <v/>
      </c>
      <c r="AC9" s="8">
        <f>AJ8</f>
        <v/>
      </c>
      <c r="AD9" s="10" t="n">
        <v>0</v>
      </c>
      <c r="AE9" s="8">
        <f>AC9+AD9</f>
        <v/>
      </c>
      <c r="AF9" s="61">
        <f>L9</f>
        <v/>
      </c>
      <c r="AG9" s="8" t="n">
        <v>0.15</v>
      </c>
      <c r="AH9" s="12">
        <f>AG9*AF9</f>
        <v/>
      </c>
      <c r="AI9" s="10">
        <f>AE9-AH9</f>
        <v/>
      </c>
      <c r="AJ9" s="11">
        <f>AI9</f>
        <v/>
      </c>
      <c r="AK9" s="10">
        <f>Z9+AJ9</f>
        <v/>
      </c>
      <c r="AM9" s="3" t="n">
        <v>5</v>
      </c>
      <c r="AN9" s="18">
        <f>AB9</f>
        <v/>
      </c>
      <c r="AO9" s="8">
        <f>AV8</f>
        <v/>
      </c>
      <c r="AP9" s="10" t="n">
        <v>0</v>
      </c>
      <c r="AQ9" s="8">
        <f>AO9+AP9</f>
        <v/>
      </c>
      <c r="AR9" s="61" t="n">
        <v>0</v>
      </c>
      <c r="AS9" s="8" t="n">
        <v>0.02</v>
      </c>
      <c r="AT9" s="10">
        <f>AR9*AS9</f>
        <v/>
      </c>
      <c r="AU9" s="10">
        <f>AQ9-AT9</f>
        <v/>
      </c>
      <c r="AV9" s="11">
        <f>AU9</f>
        <v/>
      </c>
      <c r="AW9" s="3" t="n">
        <v>5</v>
      </c>
      <c r="AX9" s="18">
        <f>AN9</f>
        <v/>
      </c>
      <c r="AY9" s="8">
        <f>BF8</f>
        <v/>
      </c>
      <c r="AZ9" s="10" t="n">
        <v>0</v>
      </c>
      <c r="BA9" s="8">
        <f>AY9+AZ9</f>
        <v/>
      </c>
      <c r="BB9" s="61" t="n">
        <v>0</v>
      </c>
      <c r="BC9" s="8" t="n">
        <v>0.03</v>
      </c>
      <c r="BD9" s="12">
        <f>BC9*BB9</f>
        <v/>
      </c>
      <c r="BE9" s="10">
        <f>BA9-BD9</f>
        <v/>
      </c>
      <c r="BF9" s="11">
        <f>BE9</f>
        <v/>
      </c>
      <c r="BG9" s="10">
        <f>AV9+BF9</f>
        <v/>
      </c>
      <c r="BI9" s="3" t="n">
        <v>5</v>
      </c>
      <c r="BJ9" s="18">
        <f>AX9</f>
        <v/>
      </c>
      <c r="BK9" s="8">
        <f>BR8</f>
        <v/>
      </c>
      <c r="BL9" s="10" t="n">
        <v>0</v>
      </c>
      <c r="BM9" s="8">
        <f>BK9+BL9</f>
        <v/>
      </c>
      <c r="BN9" s="61" t="n">
        <v>0</v>
      </c>
      <c r="BO9" s="8" t="n">
        <v>0.02</v>
      </c>
      <c r="BP9" s="10">
        <f>BN9*BO9</f>
        <v/>
      </c>
      <c r="BQ9" s="10">
        <f>BM9-BP9</f>
        <v/>
      </c>
      <c r="BR9" s="11">
        <f>BQ9</f>
        <v/>
      </c>
      <c r="BS9" s="3" t="n">
        <v>5</v>
      </c>
      <c r="BT9" s="18">
        <f>BJ9</f>
        <v/>
      </c>
      <c r="BU9" s="8">
        <f>CB8</f>
        <v/>
      </c>
      <c r="BV9" s="10" t="n">
        <v>0</v>
      </c>
      <c r="BW9" s="8">
        <f>BU9+BV9</f>
        <v/>
      </c>
      <c r="BX9" s="61" t="n">
        <v>0</v>
      </c>
      <c r="BY9" s="8" t="n">
        <v>0.03</v>
      </c>
      <c r="BZ9" s="12">
        <f>BY9*BX9</f>
        <v/>
      </c>
      <c r="CA9" s="10">
        <f>BW9-BZ9</f>
        <v/>
      </c>
      <c r="CB9" s="11">
        <f>CA9</f>
        <v/>
      </c>
      <c r="CC9" s="10">
        <f>BR9+CB9</f>
        <v/>
      </c>
      <c r="CE9" s="3" t="n">
        <v>5</v>
      </c>
      <c r="CF9" s="18">
        <f>BT9</f>
        <v/>
      </c>
      <c r="CG9" s="8">
        <f>CN8</f>
        <v/>
      </c>
      <c r="CH9" s="10" t="n">
        <v>0</v>
      </c>
      <c r="CI9" s="8">
        <f>CG9+CH9</f>
        <v/>
      </c>
      <c r="CJ9" s="61" t="n">
        <v>0</v>
      </c>
      <c r="CK9" s="8" t="n">
        <v>0.02</v>
      </c>
      <c r="CL9" s="10">
        <f>CJ9*CK9</f>
        <v/>
      </c>
      <c r="CM9" s="10">
        <f>CI9-CL9</f>
        <v/>
      </c>
      <c r="CN9" s="11">
        <f>CM9</f>
        <v/>
      </c>
      <c r="CO9" s="3" t="n">
        <v>5</v>
      </c>
      <c r="CP9" s="18">
        <f>CF9</f>
        <v/>
      </c>
      <c r="CQ9" s="8">
        <f>CX8</f>
        <v/>
      </c>
      <c r="CR9" s="10" t="n">
        <v>0</v>
      </c>
      <c r="CS9" s="8">
        <f>CQ9+CR9</f>
        <v/>
      </c>
      <c r="CT9" s="61" t="n">
        <v>0</v>
      </c>
      <c r="CU9" s="8" t="n">
        <v>0.03</v>
      </c>
      <c r="CV9" s="12">
        <f>CU9*CT9</f>
        <v/>
      </c>
      <c r="CW9" s="10">
        <f>CS9-CV9</f>
        <v/>
      </c>
      <c r="CX9" s="11">
        <f>CW9</f>
        <v/>
      </c>
      <c r="CY9" s="10">
        <f>CN9+CX9</f>
        <v/>
      </c>
      <c r="DA9" s="3" t="n">
        <v>5</v>
      </c>
      <c r="DB9" s="18">
        <f>CP9</f>
        <v/>
      </c>
      <c r="DC9" s="8">
        <f>DJ8</f>
        <v/>
      </c>
      <c r="DD9" s="10" t="n">
        <v>0</v>
      </c>
      <c r="DE9" s="8">
        <f>DC9+DD9</f>
        <v/>
      </c>
      <c r="DF9" s="61">
        <f>K9</f>
        <v/>
      </c>
      <c r="DG9" s="106" t="n">
        <v>0.0001</v>
      </c>
      <c r="DH9" s="10">
        <f>DF9*DG9</f>
        <v/>
      </c>
      <c r="DI9" s="10">
        <f>DE9-DH9</f>
        <v/>
      </c>
      <c r="DJ9" s="11">
        <f>DI9</f>
        <v/>
      </c>
      <c r="DK9" s="3" t="n">
        <v>5</v>
      </c>
      <c r="DL9" s="18">
        <f>DB9</f>
        <v/>
      </c>
      <c r="DM9" s="8">
        <f>DT8</f>
        <v/>
      </c>
      <c r="DN9" s="10" t="n">
        <v>0</v>
      </c>
      <c r="DO9" s="8">
        <f>DM9+DN9</f>
        <v/>
      </c>
      <c r="DP9" s="61">
        <f>L9</f>
        <v/>
      </c>
      <c r="DQ9" s="106" t="n">
        <v>0.0003</v>
      </c>
      <c r="DR9" s="12">
        <f>DQ9*DP9</f>
        <v/>
      </c>
      <c r="DS9" s="10">
        <f>DO9-DR9</f>
        <v/>
      </c>
      <c r="DT9" s="11">
        <f>DS9</f>
        <v/>
      </c>
      <c r="DU9" s="10">
        <f>DJ9+DT9</f>
        <v/>
      </c>
      <c r="DW9" s="3" t="n">
        <v>5</v>
      </c>
      <c r="DX9" s="18">
        <f>DL9</f>
        <v/>
      </c>
      <c r="DY9" s="8">
        <f>EF8</f>
        <v/>
      </c>
      <c r="DZ9" s="10" t="n">
        <v>0</v>
      </c>
      <c r="EA9" s="8">
        <f>DY9+DZ9</f>
        <v/>
      </c>
      <c r="EB9" s="61">
        <f>K9</f>
        <v/>
      </c>
      <c r="EC9" s="106" t="n">
        <v>0.0002</v>
      </c>
      <c r="ED9" s="10">
        <f>EB9*EC9</f>
        <v/>
      </c>
      <c r="EE9" s="10">
        <f>EA9-ED9</f>
        <v/>
      </c>
      <c r="EF9" s="11">
        <f>EE9</f>
        <v/>
      </c>
      <c r="EG9" s="3" t="n">
        <v>5</v>
      </c>
      <c r="EH9" s="18">
        <f>DX9</f>
        <v/>
      </c>
      <c r="EI9" s="8">
        <f>EP8</f>
        <v/>
      </c>
      <c r="EJ9" s="10" t="n">
        <v>0</v>
      </c>
      <c r="EK9" s="8">
        <f>EI9+EJ9</f>
        <v/>
      </c>
      <c r="EL9" s="61">
        <f>L9</f>
        <v/>
      </c>
      <c r="EM9" s="106" t="n">
        <v>0.0005999999999999999</v>
      </c>
      <c r="EN9" s="12">
        <f>EM9*EL9</f>
        <v/>
      </c>
      <c r="EO9" s="10">
        <f>EK9-EN9</f>
        <v/>
      </c>
      <c r="EP9" s="11">
        <f>EO9</f>
        <v/>
      </c>
      <c r="EQ9" s="10">
        <f>EF9+EP9</f>
        <v/>
      </c>
      <c r="ES9" s="3" t="n">
        <v>5</v>
      </c>
      <c r="ET9" s="18">
        <f>EH9</f>
        <v/>
      </c>
      <c r="EU9" s="8">
        <f>FB8</f>
        <v/>
      </c>
      <c r="EV9" s="10" t="n">
        <v>0</v>
      </c>
      <c r="EW9" s="8">
        <f>EU9+EV9</f>
        <v/>
      </c>
      <c r="EX9" s="61">
        <f>K9</f>
        <v/>
      </c>
      <c r="EY9" s="107" t="n">
        <v>0.002</v>
      </c>
      <c r="EZ9" s="10">
        <f>EX9*EY9</f>
        <v/>
      </c>
      <c r="FA9" s="10">
        <f>EW9-EZ9</f>
        <v/>
      </c>
      <c r="FB9" s="11">
        <f>FA9</f>
        <v/>
      </c>
      <c r="FC9" s="3" t="n">
        <v>5</v>
      </c>
      <c r="FD9" s="18">
        <f>ET9</f>
        <v/>
      </c>
      <c r="FE9" s="8">
        <f>FL8</f>
        <v/>
      </c>
      <c r="FF9" s="10" t="n">
        <v>0</v>
      </c>
      <c r="FG9" s="8">
        <f>FE9+FF9</f>
        <v/>
      </c>
      <c r="FH9" s="61">
        <f>L9</f>
        <v/>
      </c>
      <c r="FI9" s="107" t="n">
        <v>0.0025</v>
      </c>
      <c r="FJ9" s="12">
        <f>FI9*FH9</f>
        <v/>
      </c>
      <c r="FK9" s="10">
        <f>FG9-FJ9</f>
        <v/>
      </c>
      <c r="FL9" s="11">
        <f>FK9</f>
        <v/>
      </c>
      <c r="FM9" s="10">
        <f>FB9+FL9</f>
        <v/>
      </c>
      <c r="FO9" s="3" t="n">
        <v>5</v>
      </c>
      <c r="FP9" s="18">
        <f>FD9</f>
        <v/>
      </c>
      <c r="FQ9" s="8">
        <f>FX8</f>
        <v/>
      </c>
      <c r="FR9" s="10" t="n">
        <v>0</v>
      </c>
      <c r="FS9" s="8">
        <f>FQ9+FR9</f>
        <v/>
      </c>
      <c r="FT9" s="61">
        <f>K9</f>
        <v/>
      </c>
      <c r="FU9" s="8" t="n">
        <v>0.002</v>
      </c>
      <c r="FV9" s="10">
        <f>FT9*FU9</f>
        <v/>
      </c>
      <c r="FW9" s="10">
        <f>FS9-FV9</f>
        <v/>
      </c>
      <c r="FX9" s="11">
        <f>FW9</f>
        <v/>
      </c>
      <c r="FY9" s="3" t="n">
        <v>5</v>
      </c>
      <c r="FZ9" s="18">
        <f>FP9</f>
        <v/>
      </c>
      <c r="GA9" s="8">
        <f>GH8</f>
        <v/>
      </c>
      <c r="GB9" s="10" t="n">
        <v>0</v>
      </c>
      <c r="GC9" s="8">
        <f>GA9+GB9</f>
        <v/>
      </c>
      <c r="GD9" s="61">
        <f>L9</f>
        <v/>
      </c>
      <c r="GE9" s="8" t="n">
        <v>0.005</v>
      </c>
      <c r="GF9" s="12">
        <f>GE9*GD9</f>
        <v/>
      </c>
      <c r="GG9" s="10">
        <f>GC9-GF9</f>
        <v/>
      </c>
      <c r="GH9" s="11">
        <f>GG9</f>
        <v/>
      </c>
      <c r="GI9" s="10">
        <f>FX9+GH9</f>
        <v/>
      </c>
      <c r="GK9" s="3" t="n">
        <v>5</v>
      </c>
      <c r="GL9" s="18">
        <f>FZ9</f>
        <v/>
      </c>
      <c r="GM9" s="8">
        <f>GT8</f>
        <v/>
      </c>
      <c r="GN9" s="10" t="n">
        <v>0</v>
      </c>
      <c r="GO9" s="8">
        <f>GM9+GN9</f>
        <v/>
      </c>
      <c r="GP9" s="61">
        <f>K9</f>
        <v/>
      </c>
      <c r="GQ9" s="8" t="n">
        <v>0.005</v>
      </c>
      <c r="GR9" s="10">
        <f>GP9*GQ9</f>
        <v/>
      </c>
      <c r="GS9" s="10">
        <f>GO9-GR9</f>
        <v/>
      </c>
      <c r="GT9" s="11">
        <f>GS9</f>
        <v/>
      </c>
      <c r="GU9" s="3" t="n">
        <v>5</v>
      </c>
      <c r="GV9" s="18">
        <f>GL9</f>
        <v/>
      </c>
      <c r="GW9" s="8">
        <f>HD8</f>
        <v/>
      </c>
      <c r="GX9" s="10" t="n">
        <v>0</v>
      </c>
      <c r="GY9" s="8">
        <f>GW9+GX9</f>
        <v/>
      </c>
      <c r="GZ9" s="61">
        <f>L9</f>
        <v/>
      </c>
      <c r="HA9" s="8" t="n">
        <v>0.0075</v>
      </c>
      <c r="HB9" s="12">
        <f>HA9*GZ9</f>
        <v/>
      </c>
      <c r="HC9" s="10">
        <f>GY9-HB9</f>
        <v/>
      </c>
      <c r="HD9" s="11">
        <f>HC9</f>
        <v/>
      </c>
      <c r="HE9" s="10">
        <f>GT9+HD9</f>
        <v/>
      </c>
      <c r="HG9" s="3" t="n">
        <v>5</v>
      </c>
      <c r="HH9" s="18">
        <f>GV9</f>
        <v/>
      </c>
      <c r="HI9" s="61">
        <f>K9</f>
        <v/>
      </c>
      <c r="HJ9" s="22" t="n">
        <v>1</v>
      </c>
      <c r="HK9" s="23">
        <f>HI9*HJ9</f>
        <v/>
      </c>
      <c r="HL9" s="61" t="n">
        <v>0.89</v>
      </c>
      <c r="HM9" s="23">
        <f>HI9*HL9</f>
        <v/>
      </c>
      <c r="HN9" s="22" t="n">
        <v>0.7</v>
      </c>
      <c r="HO9" s="22">
        <f>HN9*HI9</f>
        <v/>
      </c>
      <c r="HP9" s="22" t="n">
        <v>2.59</v>
      </c>
      <c r="HQ9" s="9">
        <f>HI9*HP9</f>
        <v/>
      </c>
      <c r="HR9" s="3" t="n">
        <v>5</v>
      </c>
      <c r="HS9" s="18" t="n">
        <v>45053</v>
      </c>
      <c r="HT9" s="61">
        <f>L9</f>
        <v/>
      </c>
      <c r="HU9" s="22" t="n">
        <v>1.64</v>
      </c>
      <c r="HV9" s="23">
        <f>HT9*HU9</f>
        <v/>
      </c>
      <c r="HW9" s="61" t="n">
        <v>1.14</v>
      </c>
      <c r="HX9" s="23">
        <f>HT9*HW9</f>
        <v/>
      </c>
      <c r="HY9" s="22" t="n">
        <v>1.1</v>
      </c>
      <c r="HZ9" s="22">
        <f>HY9*HT9</f>
        <v/>
      </c>
      <c r="IA9" s="22" t="n">
        <v>3.11</v>
      </c>
      <c r="IB9" s="9">
        <f>HT9*IA9</f>
        <v/>
      </c>
      <c r="IC9" s="9">
        <f>HK9+HV9</f>
        <v/>
      </c>
      <c r="ID9" s="9">
        <f>HM9+HX9</f>
        <v/>
      </c>
      <c r="IE9" s="9">
        <f>HO9+HZ9</f>
        <v/>
      </c>
      <c r="IF9" s="103" t="n"/>
      <c r="IG9" s="109">
        <f>HH9</f>
        <v/>
      </c>
      <c r="IH9" s="132" t="inlineStr">
        <is>
          <t>lkseokj</t>
        </is>
      </c>
      <c r="II9" s="140" t="inlineStr">
        <is>
          <t>elqj nkG</t>
        </is>
      </c>
      <c r="IJ9" s="105">
        <f>IJ8</f>
        <v/>
      </c>
      <c r="IK9" s="105">
        <f>IJ9</f>
        <v/>
      </c>
      <c r="IL9" s="105">
        <f>K9</f>
        <v/>
      </c>
      <c r="IM9" s="105">
        <f>IL9*100</f>
        <v/>
      </c>
      <c r="IN9" s="105">
        <f>IL9*20</f>
        <v/>
      </c>
      <c r="IO9" s="105" t="n"/>
      <c r="IP9" s="105" t="n"/>
      <c r="IQ9" s="105">
        <f>IL9*0.3</f>
        <v/>
      </c>
      <c r="IR9" s="105">
        <f>IL9*0.4</f>
        <v/>
      </c>
      <c r="IS9" s="105">
        <f>IL9*1.5</f>
        <v/>
      </c>
      <c r="IT9" s="105">
        <f>IL9*5</f>
        <v/>
      </c>
      <c r="IU9" s="105">
        <f>IL9*2</f>
        <v/>
      </c>
      <c r="IV9" s="105">
        <f>IL9*2.08</f>
        <v/>
      </c>
      <c r="IW9" s="105" t="n"/>
      <c r="IX9" s="105">
        <f>IL9*2.08</f>
        <v/>
      </c>
      <c r="IY9" s="105" t="n"/>
      <c r="IZ9" s="109">
        <f>IG9</f>
        <v/>
      </c>
      <c r="JA9" s="132" t="inlineStr">
        <is>
          <t>lkseokj</t>
        </is>
      </c>
      <c r="JB9" s="140" t="inlineStr">
        <is>
          <t>elqj nkG</t>
        </is>
      </c>
      <c r="JC9" s="105">
        <f>JC8</f>
        <v/>
      </c>
      <c r="JD9" s="105">
        <f>JC9</f>
        <v/>
      </c>
      <c r="JE9" s="105">
        <f>L9</f>
        <v/>
      </c>
      <c r="JF9" s="105">
        <f>JE9*150</f>
        <v/>
      </c>
      <c r="JG9" s="105">
        <f>JE9*30</f>
        <v/>
      </c>
      <c r="JH9" s="105" t="n"/>
      <c r="JI9" s="105" t="n"/>
      <c r="JJ9" s="105">
        <f>JE9*0.25</f>
        <v/>
      </c>
      <c r="JK9" s="105">
        <f>JE9*0.4</f>
        <v/>
      </c>
      <c r="JL9" s="105">
        <f>JE9*2.5</f>
        <v/>
      </c>
      <c r="JM9" s="105">
        <f>JE9*7.5</f>
        <v/>
      </c>
      <c r="JN9" s="105">
        <f>JE9*4</f>
        <v/>
      </c>
      <c r="JO9" s="105">
        <f>JE9*3.11</f>
        <v/>
      </c>
      <c r="JP9" s="105" t="n"/>
      <c r="JQ9" s="105">
        <f>JE9*3.11</f>
        <v/>
      </c>
      <c r="JR9" s="105" t="n"/>
      <c r="JS9" s="103" t="n"/>
      <c r="JT9" s="59" t="n">
        <v>4</v>
      </c>
      <c r="JU9" s="30" t="inlineStr">
        <is>
          <t>eVdh@ poGh</t>
        </is>
      </c>
      <c r="JV9" s="38">
        <f>CN35</f>
        <v/>
      </c>
      <c r="JW9" s="38">
        <f>CX35</f>
        <v/>
      </c>
      <c r="JX9" s="38">
        <f>SUM(JV9:JW9)</f>
        <v/>
      </c>
      <c r="JY9" s="56" t="n"/>
      <c r="JZ9" s="103" t="n"/>
      <c r="KA9" s="59" t="n">
        <v>4</v>
      </c>
      <c r="KB9" s="30" t="inlineStr">
        <is>
          <t>gjHkjk</t>
        </is>
      </c>
      <c r="KC9" s="38">
        <f>JV9</f>
        <v/>
      </c>
      <c r="KD9" s="38">
        <f>CH36</f>
        <v/>
      </c>
      <c r="KE9" s="38">
        <f>CL36</f>
        <v/>
      </c>
      <c r="KF9" s="38" t="n"/>
      <c r="KG9" s="38">
        <f>JW9</f>
        <v/>
      </c>
      <c r="KH9" s="38">
        <f>CR36</f>
        <v/>
      </c>
      <c r="KI9" s="38">
        <f>CV36</f>
        <v/>
      </c>
      <c r="KJ9" s="72" t="n"/>
    </row>
    <row r="10" ht="35.1" customHeight="1">
      <c r="A10" s="132" t="inlineStr">
        <is>
          <t>lkseokj</t>
        </is>
      </c>
      <c r="B10" s="114" t="inlineStr">
        <is>
          <t>06/04/2026</t>
        </is>
      </c>
      <c r="C10" s="108" t="n">
        <v>0</v>
      </c>
      <c r="D10" s="108">
        <f>C10</f>
        <v/>
      </c>
      <c r="E10" s="108" t="n">
        <v>0</v>
      </c>
      <c r="F10" s="108" t="n">
        <v>0</v>
      </c>
      <c r="G10" s="108" t="n">
        <v>0</v>
      </c>
      <c r="H10" s="108">
        <f>G10+F10+E10</f>
        <v/>
      </c>
      <c r="I10" s="132" t="inlineStr">
        <is>
          <t>lkseokj</t>
        </is>
      </c>
      <c r="J10" s="114" t="inlineStr">
        <is>
          <t>06/04/2026</t>
        </is>
      </c>
      <c r="K10" s="61">
        <f>D10</f>
        <v/>
      </c>
      <c r="L10" s="61">
        <f>H10</f>
        <v/>
      </c>
      <c r="M10" s="61">
        <f>SUM(K10:L10)</f>
        <v/>
      </c>
      <c r="N10" s="140" t="inlineStr">
        <is>
          <t>elqj nkG</t>
        </is>
      </c>
      <c r="O10" s="89" t="n"/>
      <c r="Q10" s="3" t="n">
        <v>6</v>
      </c>
      <c r="R10" s="114" t="inlineStr">
        <is>
          <t>06/04/2026</t>
        </is>
      </c>
      <c r="S10" s="11">
        <f>Z9</f>
        <v/>
      </c>
      <c r="T10" s="10" t="n">
        <v>0</v>
      </c>
      <c r="U10" s="8">
        <f>S10+T10</f>
        <v/>
      </c>
      <c r="V10" s="61">
        <f>K10</f>
        <v/>
      </c>
      <c r="W10" s="8" t="n">
        <v>0.1</v>
      </c>
      <c r="X10" s="10">
        <f>V10*W10</f>
        <v/>
      </c>
      <c r="Y10" s="10">
        <f>U10-X10</f>
        <v/>
      </c>
      <c r="Z10" s="11">
        <f>Y10</f>
        <v/>
      </c>
      <c r="AA10" s="3" t="n">
        <v>6</v>
      </c>
      <c r="AB10" s="18">
        <f>R10</f>
        <v/>
      </c>
      <c r="AC10" s="8">
        <f>AJ9</f>
        <v/>
      </c>
      <c r="AD10" s="10" t="n">
        <v>0</v>
      </c>
      <c r="AE10" s="8">
        <f>AC10+AD10</f>
        <v/>
      </c>
      <c r="AF10" s="61">
        <f>L10</f>
        <v/>
      </c>
      <c r="AG10" s="8" t="n">
        <v>0.15</v>
      </c>
      <c r="AH10" s="12">
        <f>AG10*AF10</f>
        <v/>
      </c>
      <c r="AI10" s="10">
        <f>AE10-AH10</f>
        <v/>
      </c>
      <c r="AJ10" s="11">
        <f>AI10</f>
        <v/>
      </c>
      <c r="AK10" s="10">
        <f>Z10+AJ10</f>
        <v/>
      </c>
      <c r="AM10" s="3" t="n">
        <v>6</v>
      </c>
      <c r="AN10" s="18">
        <f>AB10</f>
        <v/>
      </c>
      <c r="AO10" s="8">
        <f>AV9</f>
        <v/>
      </c>
      <c r="AP10" s="10" t="n">
        <v>0</v>
      </c>
      <c r="AQ10" s="8">
        <f>AO10+AP10</f>
        <v/>
      </c>
      <c r="AR10" s="61" t="n">
        <v>0</v>
      </c>
      <c r="AS10" s="8" t="n">
        <v>0.02</v>
      </c>
      <c r="AT10" s="10">
        <f>AR10*AS10</f>
        <v/>
      </c>
      <c r="AU10" s="10">
        <f>AQ10-AT10</f>
        <v/>
      </c>
      <c r="AV10" s="11">
        <f>AU10</f>
        <v/>
      </c>
      <c r="AW10" s="3" t="n">
        <v>6</v>
      </c>
      <c r="AX10" s="18">
        <f>AN10</f>
        <v/>
      </c>
      <c r="AY10" s="8">
        <f>BF9</f>
        <v/>
      </c>
      <c r="AZ10" s="10" t="n">
        <v>0</v>
      </c>
      <c r="BA10" s="8">
        <f>AY10+AZ10</f>
        <v/>
      </c>
      <c r="BB10" s="61" t="n">
        <v>0</v>
      </c>
      <c r="BC10" s="8" t="n">
        <v>0.03</v>
      </c>
      <c r="BD10" s="12">
        <f>BC10*BB10</f>
        <v/>
      </c>
      <c r="BE10" s="10">
        <f>BA10-BD10</f>
        <v/>
      </c>
      <c r="BF10" s="11">
        <f>BE10</f>
        <v/>
      </c>
      <c r="BG10" s="10">
        <f>AV10+BF10</f>
        <v/>
      </c>
      <c r="BI10" s="3" t="n">
        <v>6</v>
      </c>
      <c r="BJ10" s="18">
        <f>AX10</f>
        <v/>
      </c>
      <c r="BK10" s="8">
        <f>BR9</f>
        <v/>
      </c>
      <c r="BL10" s="10" t="n">
        <v>0</v>
      </c>
      <c r="BM10" s="8">
        <f>BK10+BL10</f>
        <v/>
      </c>
      <c r="BN10" s="61">
        <f>K10</f>
        <v/>
      </c>
      <c r="BO10" s="8" t="n">
        <v>0.02</v>
      </c>
      <c r="BP10" s="10">
        <f>BN10*BO10</f>
        <v/>
      </c>
      <c r="BQ10" s="10">
        <f>BM10-BP10</f>
        <v/>
      </c>
      <c r="BR10" s="11">
        <f>BQ10</f>
        <v/>
      </c>
      <c r="BS10" s="3" t="n">
        <v>6</v>
      </c>
      <c r="BT10" s="18">
        <f>BJ10</f>
        <v/>
      </c>
      <c r="BU10" s="8">
        <f>CB9</f>
        <v/>
      </c>
      <c r="BV10" s="10" t="n">
        <v>0</v>
      </c>
      <c r="BW10" s="8">
        <f>BU10+BV10</f>
        <v/>
      </c>
      <c r="BX10" s="61">
        <f>L10</f>
        <v/>
      </c>
      <c r="BY10" s="8" t="n">
        <v>0.03</v>
      </c>
      <c r="BZ10" s="12">
        <f>BY10*BX10</f>
        <v/>
      </c>
      <c r="CA10" s="10">
        <f>BW10-BZ10</f>
        <v/>
      </c>
      <c r="CB10" s="11">
        <f>CA10</f>
        <v/>
      </c>
      <c r="CC10" s="10">
        <f>BR10+CB10</f>
        <v/>
      </c>
      <c r="CE10" s="3" t="n">
        <v>6</v>
      </c>
      <c r="CF10" s="18">
        <f>BT10</f>
        <v/>
      </c>
      <c r="CG10" s="8">
        <f>CN9</f>
        <v/>
      </c>
      <c r="CH10" s="10" t="n">
        <v>0</v>
      </c>
      <c r="CI10" s="8">
        <f>CG10+CH10</f>
        <v/>
      </c>
      <c r="CJ10" s="61" t="n">
        <v>0</v>
      </c>
      <c r="CK10" s="8" t="n">
        <v>0.02</v>
      </c>
      <c r="CL10" s="10">
        <f>CJ10*CK10</f>
        <v/>
      </c>
      <c r="CM10" s="10">
        <f>CI10-CL10</f>
        <v/>
      </c>
      <c r="CN10" s="11">
        <f>CM10</f>
        <v/>
      </c>
      <c r="CO10" s="3" t="n">
        <v>6</v>
      </c>
      <c r="CP10" s="18">
        <f>CF10</f>
        <v/>
      </c>
      <c r="CQ10" s="8">
        <f>CX9</f>
        <v/>
      </c>
      <c r="CR10" s="10" t="n">
        <v>0</v>
      </c>
      <c r="CS10" s="8">
        <f>CQ10+CR10</f>
        <v/>
      </c>
      <c r="CT10" s="61" t="n">
        <v>0</v>
      </c>
      <c r="CU10" s="8" t="n">
        <v>0.03</v>
      </c>
      <c r="CV10" s="12">
        <f>CU10*CT10</f>
        <v/>
      </c>
      <c r="CW10" s="10">
        <f>CS10-CV10</f>
        <v/>
      </c>
      <c r="CX10" s="11">
        <f>CW10</f>
        <v/>
      </c>
      <c r="CY10" s="10">
        <f>CN10+CX10</f>
        <v/>
      </c>
      <c r="DA10" s="3" t="n">
        <v>6</v>
      </c>
      <c r="DB10" s="18">
        <f>CP10</f>
        <v/>
      </c>
      <c r="DC10" s="8">
        <f>DJ9</f>
        <v/>
      </c>
      <c r="DD10" s="10" t="n">
        <v>0</v>
      </c>
      <c r="DE10" s="8">
        <f>DC10+DD10</f>
        <v/>
      </c>
      <c r="DF10" s="61">
        <f>K10</f>
        <v/>
      </c>
      <c r="DG10" s="106" t="n">
        <v>0.0001</v>
      </c>
      <c r="DH10" s="10">
        <f>DF10*DG10</f>
        <v/>
      </c>
      <c r="DI10" s="10">
        <f>DE10-DH10</f>
        <v/>
      </c>
      <c r="DJ10" s="11">
        <f>DI10</f>
        <v/>
      </c>
      <c r="DK10" s="3" t="n">
        <v>6</v>
      </c>
      <c r="DL10" s="18">
        <f>DB10</f>
        <v/>
      </c>
      <c r="DM10" s="8">
        <f>DT9</f>
        <v/>
      </c>
      <c r="DN10" s="10" t="n">
        <v>0</v>
      </c>
      <c r="DO10" s="8">
        <f>DM10+DN10</f>
        <v/>
      </c>
      <c r="DP10" s="61">
        <f>L10</f>
        <v/>
      </c>
      <c r="DQ10" s="106" t="n">
        <v>0.0003</v>
      </c>
      <c r="DR10" s="12">
        <f>DQ10*DP10</f>
        <v/>
      </c>
      <c r="DS10" s="10">
        <f>DO10-DR10</f>
        <v/>
      </c>
      <c r="DT10" s="11">
        <f>DS10</f>
        <v/>
      </c>
      <c r="DU10" s="10">
        <f>DJ10+DT10</f>
        <v/>
      </c>
      <c r="DW10" s="3" t="n">
        <v>6</v>
      </c>
      <c r="DX10" s="18">
        <f>DL10</f>
        <v/>
      </c>
      <c r="DY10" s="8">
        <f>EF9</f>
        <v/>
      </c>
      <c r="DZ10" s="10" t="n">
        <v>0</v>
      </c>
      <c r="EA10" s="8">
        <f>DY10+DZ10</f>
        <v/>
      </c>
      <c r="EB10" s="61">
        <f>K10</f>
        <v/>
      </c>
      <c r="EC10" s="106" t="n">
        <v>0.0002</v>
      </c>
      <c r="ED10" s="10">
        <f>EB10*EC10</f>
        <v/>
      </c>
      <c r="EE10" s="10">
        <f>EA10-ED10</f>
        <v/>
      </c>
      <c r="EF10" s="11">
        <f>EE10</f>
        <v/>
      </c>
      <c r="EG10" s="3" t="n">
        <v>6</v>
      </c>
      <c r="EH10" s="18">
        <f>DX10</f>
        <v/>
      </c>
      <c r="EI10" s="8">
        <f>EP9</f>
        <v/>
      </c>
      <c r="EJ10" s="10" t="n">
        <v>0</v>
      </c>
      <c r="EK10" s="8">
        <f>EI10+EJ10</f>
        <v/>
      </c>
      <c r="EL10" s="61">
        <f>L10</f>
        <v/>
      </c>
      <c r="EM10" s="106" t="n">
        <v>0.0005999999999999999</v>
      </c>
      <c r="EN10" s="12">
        <f>EM10*EL10</f>
        <v/>
      </c>
      <c r="EO10" s="10">
        <f>EK10-EN10</f>
        <v/>
      </c>
      <c r="EP10" s="11">
        <f>EO10</f>
        <v/>
      </c>
      <c r="EQ10" s="10">
        <f>EF10+EP10</f>
        <v/>
      </c>
      <c r="ES10" s="3" t="n">
        <v>6</v>
      </c>
      <c r="ET10" s="18">
        <f>EH10</f>
        <v/>
      </c>
      <c r="EU10" s="8">
        <f>FB9</f>
        <v/>
      </c>
      <c r="EV10" s="10" t="n">
        <v>0</v>
      </c>
      <c r="EW10" s="8">
        <f>EU10+EV10</f>
        <v/>
      </c>
      <c r="EX10" s="61">
        <f>K10</f>
        <v/>
      </c>
      <c r="EY10" s="107" t="n">
        <v>0.002</v>
      </c>
      <c r="EZ10" s="10">
        <f>EX10*EY10</f>
        <v/>
      </c>
      <c r="FA10" s="10">
        <f>EW10-EZ10</f>
        <v/>
      </c>
      <c r="FB10" s="11">
        <f>FA10</f>
        <v/>
      </c>
      <c r="FC10" s="3" t="n">
        <v>6</v>
      </c>
      <c r="FD10" s="18">
        <f>ET10</f>
        <v/>
      </c>
      <c r="FE10" s="8">
        <f>FL9</f>
        <v/>
      </c>
      <c r="FF10" s="10" t="n">
        <v>0</v>
      </c>
      <c r="FG10" s="8">
        <f>FE10+FF10</f>
        <v/>
      </c>
      <c r="FH10" s="61">
        <f>L10</f>
        <v/>
      </c>
      <c r="FI10" s="107" t="n">
        <v>0.0025</v>
      </c>
      <c r="FJ10" s="12">
        <f>FI10*FH10</f>
        <v/>
      </c>
      <c r="FK10" s="10">
        <f>FG10-FJ10</f>
        <v/>
      </c>
      <c r="FL10" s="11">
        <f>FK10</f>
        <v/>
      </c>
      <c r="FM10" s="10">
        <f>FB10+FL10</f>
        <v/>
      </c>
      <c r="FO10" s="3" t="n">
        <v>6</v>
      </c>
      <c r="FP10" s="18">
        <f>FD10</f>
        <v/>
      </c>
      <c r="FQ10" s="8">
        <f>FX9</f>
        <v/>
      </c>
      <c r="FR10" s="10" t="n">
        <v>0</v>
      </c>
      <c r="FS10" s="8">
        <f>FQ10+FR10</f>
        <v/>
      </c>
      <c r="FT10" s="61">
        <f>K10</f>
        <v/>
      </c>
      <c r="FU10" s="8" t="n">
        <v>0.002</v>
      </c>
      <c r="FV10" s="10">
        <f>FT10*FU10</f>
        <v/>
      </c>
      <c r="FW10" s="10">
        <f>FS10-FV10</f>
        <v/>
      </c>
      <c r="FX10" s="11">
        <f>FW10</f>
        <v/>
      </c>
      <c r="FY10" s="3" t="n">
        <v>6</v>
      </c>
      <c r="FZ10" s="18">
        <f>FP10</f>
        <v/>
      </c>
      <c r="GA10" s="8">
        <f>GH9</f>
        <v/>
      </c>
      <c r="GB10" s="10" t="n">
        <v>0</v>
      </c>
      <c r="GC10" s="8">
        <f>GA10+GB10</f>
        <v/>
      </c>
      <c r="GD10" s="61">
        <f>L10</f>
        <v/>
      </c>
      <c r="GE10" s="8" t="n">
        <v>0.005</v>
      </c>
      <c r="GF10" s="12">
        <f>GE10*GD10</f>
        <v/>
      </c>
      <c r="GG10" s="10">
        <f>GC10-GF10</f>
        <v/>
      </c>
      <c r="GH10" s="11">
        <f>GG10</f>
        <v/>
      </c>
      <c r="GI10" s="10">
        <f>FX10+GH10</f>
        <v/>
      </c>
      <c r="GK10" s="3" t="n">
        <v>6</v>
      </c>
      <c r="GL10" s="18">
        <f>FZ10</f>
        <v/>
      </c>
      <c r="GM10" s="8">
        <f>GT9</f>
        <v/>
      </c>
      <c r="GN10" s="10" t="n">
        <v>0</v>
      </c>
      <c r="GO10" s="8">
        <f>GM10+GN10</f>
        <v/>
      </c>
      <c r="GP10" s="61">
        <f>K10</f>
        <v/>
      </c>
      <c r="GQ10" s="8" t="n">
        <v>0.005</v>
      </c>
      <c r="GR10" s="10">
        <f>GP10*GQ10</f>
        <v/>
      </c>
      <c r="GS10" s="10">
        <f>GO10-GR10</f>
        <v/>
      </c>
      <c r="GT10" s="11">
        <f>GS10</f>
        <v/>
      </c>
      <c r="GU10" s="3" t="n">
        <v>6</v>
      </c>
      <c r="GV10" s="18">
        <f>GL10</f>
        <v/>
      </c>
      <c r="GW10" s="8">
        <f>HD9</f>
        <v/>
      </c>
      <c r="GX10" s="10" t="n">
        <v>0</v>
      </c>
      <c r="GY10" s="8">
        <f>GW10+GX10</f>
        <v/>
      </c>
      <c r="GZ10" s="61">
        <f>L10</f>
        <v/>
      </c>
      <c r="HA10" s="8" t="n">
        <v>0.0075</v>
      </c>
      <c r="HB10" s="12">
        <f>HA10*GZ10</f>
        <v/>
      </c>
      <c r="HC10" s="10">
        <f>GY10-HB10</f>
        <v/>
      </c>
      <c r="HD10" s="11">
        <f>HC10</f>
        <v/>
      </c>
      <c r="HE10" s="10">
        <f>GT10+HD10</f>
        <v/>
      </c>
      <c r="HG10" s="3" t="n">
        <v>6</v>
      </c>
      <c r="HH10" s="18">
        <f>GV10</f>
        <v/>
      </c>
      <c r="HI10" s="61">
        <f>K10</f>
        <v/>
      </c>
      <c r="HJ10" s="22" t="n">
        <v>1</v>
      </c>
      <c r="HK10" s="23">
        <f>HI10*HJ10</f>
        <v/>
      </c>
      <c r="HL10" s="61" t="n">
        <v>0.89</v>
      </c>
      <c r="HM10" s="23">
        <f>HI10*HL10</f>
        <v/>
      </c>
      <c r="HN10" s="22" t="n">
        <v>0.7</v>
      </c>
      <c r="HO10" s="22">
        <f>HN10*HI10</f>
        <v/>
      </c>
      <c r="HP10" s="22" t="n">
        <v>2.59</v>
      </c>
      <c r="HQ10" s="9">
        <f>HI10*HP10</f>
        <v/>
      </c>
      <c r="HR10" s="3" t="n">
        <v>6</v>
      </c>
      <c r="HS10" s="18" t="n">
        <v>45084</v>
      </c>
      <c r="HT10" s="61">
        <f>L10</f>
        <v/>
      </c>
      <c r="HU10" s="22" t="n">
        <v>1.64</v>
      </c>
      <c r="HV10" s="23">
        <f>HT10*HU10</f>
        <v/>
      </c>
      <c r="HW10" s="61" t="n">
        <v>1.14</v>
      </c>
      <c r="HX10" s="23">
        <f>HT10*HW10</f>
        <v/>
      </c>
      <c r="HY10" s="22" t="n">
        <v>1.1</v>
      </c>
      <c r="HZ10" s="22">
        <f>HY10*HT10</f>
        <v/>
      </c>
      <c r="IA10" s="22" t="n">
        <v>3.11</v>
      </c>
      <c r="IB10" s="9">
        <f>HT10*IA10</f>
        <v/>
      </c>
      <c r="IC10" s="9">
        <f>HK10+HV10</f>
        <v/>
      </c>
      <c r="ID10" s="9">
        <f>HM10+HX10</f>
        <v/>
      </c>
      <c r="IE10" s="9">
        <f>HO10+HZ10</f>
        <v/>
      </c>
      <c r="IF10" s="103" t="n"/>
      <c r="IG10" s="109">
        <f>HH10</f>
        <v/>
      </c>
      <c r="IH10" s="132" t="inlineStr">
        <is>
          <t>eaxGokj</t>
        </is>
      </c>
      <c r="II10" s="140" t="inlineStr">
        <is>
          <t>okVk.kk</t>
        </is>
      </c>
      <c r="IJ10" s="105">
        <f>IJ9</f>
        <v/>
      </c>
      <c r="IK10" s="105">
        <f>IJ10</f>
        <v/>
      </c>
      <c r="IL10" s="105">
        <f>K10</f>
        <v/>
      </c>
      <c r="IM10" s="105">
        <f>IL10*100</f>
        <v/>
      </c>
      <c r="IN10" s="105" t="n"/>
      <c r="IO10" s="105">
        <f>IL10*20</f>
        <v/>
      </c>
      <c r="IP10" s="105" t="n"/>
      <c r="IQ10" s="105">
        <f>IL10*0.3</f>
        <v/>
      </c>
      <c r="IR10" s="105">
        <f>IL10*0.4</f>
        <v/>
      </c>
      <c r="IS10" s="105">
        <f>IL10*1.5</f>
        <v/>
      </c>
      <c r="IT10" s="105">
        <f>IL10*5</f>
        <v/>
      </c>
      <c r="IU10" s="105">
        <f>IL10*2</f>
        <v/>
      </c>
      <c r="IV10" s="105">
        <f>IL10*2.08</f>
        <v/>
      </c>
      <c r="IW10" s="105" t="n"/>
      <c r="IX10" s="105">
        <f>IL10*2.08</f>
        <v/>
      </c>
      <c r="IY10" s="105" t="n"/>
      <c r="IZ10" s="109">
        <f>IG10</f>
        <v/>
      </c>
      <c r="JA10" s="132" t="inlineStr">
        <is>
          <t>eaxGokj</t>
        </is>
      </c>
      <c r="JB10" s="140" t="inlineStr">
        <is>
          <t>okVk.kk</t>
        </is>
      </c>
      <c r="JC10" s="105">
        <f>JC9</f>
        <v/>
      </c>
      <c r="JD10" s="105">
        <f>JC10</f>
        <v/>
      </c>
      <c r="JE10" s="105">
        <f>L10</f>
        <v/>
      </c>
      <c r="JF10" s="105">
        <f>JE10*150</f>
        <v/>
      </c>
      <c r="JG10" s="105" t="n"/>
      <c r="JH10" s="105">
        <f>JE10*30</f>
        <v/>
      </c>
      <c r="JI10" s="105" t="n"/>
      <c r="JJ10" s="105">
        <f>JE10*0.25</f>
        <v/>
      </c>
      <c r="JK10" s="105">
        <f>JE10*0.4</f>
        <v/>
      </c>
      <c r="JL10" s="105">
        <f>JE10*2.5</f>
        <v/>
      </c>
      <c r="JM10" s="105">
        <f>JE10*7.5</f>
        <v/>
      </c>
      <c r="JN10" s="105">
        <f>JE10*4</f>
        <v/>
      </c>
      <c r="JO10" s="105">
        <f>JE10*3.11</f>
        <v/>
      </c>
      <c r="JP10" s="105" t="n"/>
      <c r="JQ10" s="105">
        <f>JE10*3.11</f>
        <v/>
      </c>
      <c r="JR10" s="105" t="n"/>
      <c r="JS10" s="103" t="n"/>
      <c r="JT10" s="59" t="n">
        <v>5</v>
      </c>
      <c r="JU10" s="30" t="inlineStr">
        <is>
          <t>gjcjk</t>
        </is>
      </c>
      <c r="JV10" s="38">
        <f>AV35</f>
        <v/>
      </c>
      <c r="JW10" s="38">
        <f>BF35</f>
        <v/>
      </c>
      <c r="JX10" s="38">
        <f>SUM(JV10:JW10)</f>
        <v/>
      </c>
      <c r="JY10" s="56" t="n"/>
      <c r="JZ10" s="103" t="n"/>
      <c r="KA10" s="59" t="n">
        <v>5</v>
      </c>
      <c r="KB10" s="30" t="inlineStr">
        <is>
          <t>okVk.kk</t>
        </is>
      </c>
      <c r="KC10" s="38">
        <f>JV10</f>
        <v/>
      </c>
      <c r="KD10" s="38">
        <f>AP36</f>
        <v/>
      </c>
      <c r="KE10" s="38">
        <f>AT36</f>
        <v/>
      </c>
      <c r="KF10" s="38" t="n"/>
      <c r="KG10" s="38">
        <f>JW10</f>
        <v/>
      </c>
      <c r="KH10" s="38">
        <f>AZ36</f>
        <v/>
      </c>
      <c r="KI10" s="38">
        <f>BD36</f>
        <v/>
      </c>
      <c r="KJ10" s="72" t="n"/>
    </row>
    <row r="11" ht="35.1" customHeight="1">
      <c r="A11" s="132" t="inlineStr">
        <is>
          <t>eaxGokj</t>
        </is>
      </c>
      <c r="B11" s="114" t="inlineStr">
        <is>
          <t>07/04/2026</t>
        </is>
      </c>
      <c r="C11" s="108" t="n">
        <v>0</v>
      </c>
      <c r="D11" s="108">
        <f>C11</f>
        <v/>
      </c>
      <c r="E11" s="108" t="n">
        <v>0</v>
      </c>
      <c r="F11" s="108" t="n">
        <v>0</v>
      </c>
      <c r="G11" s="108" t="n">
        <v>0</v>
      </c>
      <c r="H11" s="108">
        <f>G11+F11+E11</f>
        <v/>
      </c>
      <c r="I11" s="132" t="inlineStr">
        <is>
          <t>eaxGokj</t>
        </is>
      </c>
      <c r="J11" s="114" t="inlineStr">
        <is>
          <t>07/04/2026</t>
        </is>
      </c>
      <c r="K11" s="61">
        <f>D11</f>
        <v/>
      </c>
      <c r="L11" s="61">
        <f>H11</f>
        <v/>
      </c>
      <c r="M11" s="61">
        <f>SUM(K11:L11)</f>
        <v/>
      </c>
      <c r="N11" s="140" t="inlineStr">
        <is>
          <t>gjcjk</t>
        </is>
      </c>
      <c r="O11" s="89" t="n"/>
      <c r="Q11" s="3" t="n">
        <v>7</v>
      </c>
      <c r="R11" s="114" t="inlineStr">
        <is>
          <t>07/04/2026</t>
        </is>
      </c>
      <c r="S11" s="11">
        <f>Z10</f>
        <v/>
      </c>
      <c r="T11" s="10" t="n">
        <v>0</v>
      </c>
      <c r="U11" s="8">
        <f>S11+T11</f>
        <v/>
      </c>
      <c r="V11" s="61">
        <f>K11</f>
        <v/>
      </c>
      <c r="W11" s="8" t="n">
        <v>0.1</v>
      </c>
      <c r="X11" s="10">
        <f>V11*W11</f>
        <v/>
      </c>
      <c r="Y11" s="10">
        <f>U11-X11</f>
        <v/>
      </c>
      <c r="Z11" s="11">
        <f>Y11</f>
        <v/>
      </c>
      <c r="AA11" s="3" t="n">
        <v>7</v>
      </c>
      <c r="AB11" s="18">
        <f>R11</f>
        <v/>
      </c>
      <c r="AC11" s="8">
        <f>AJ10</f>
        <v/>
      </c>
      <c r="AD11" s="10" t="n">
        <v>0</v>
      </c>
      <c r="AE11" s="8">
        <f>AC11+AD11</f>
        <v/>
      </c>
      <c r="AF11" s="61">
        <f>L11</f>
        <v/>
      </c>
      <c r="AG11" s="8" t="n">
        <v>0.15</v>
      </c>
      <c r="AH11" s="12">
        <f>AG11*AF11</f>
        <v/>
      </c>
      <c r="AI11" s="10">
        <f>AE11-AH11</f>
        <v/>
      </c>
      <c r="AJ11" s="11">
        <f>AI11</f>
        <v/>
      </c>
      <c r="AK11" s="10">
        <f>Z11+AJ11</f>
        <v/>
      </c>
      <c r="AM11" s="3" t="n">
        <v>7</v>
      </c>
      <c r="AN11" s="18">
        <f>AB11</f>
        <v/>
      </c>
      <c r="AO11" s="8">
        <f>AV10</f>
        <v/>
      </c>
      <c r="AP11" s="10" t="n">
        <v>0</v>
      </c>
      <c r="AQ11" s="8">
        <f>AO11+AP11</f>
        <v/>
      </c>
      <c r="AR11" s="61">
        <f>K11</f>
        <v/>
      </c>
      <c r="AS11" s="8" t="n">
        <v>0.02</v>
      </c>
      <c r="AT11" s="10">
        <f>AR11*AS11</f>
        <v/>
      </c>
      <c r="AU11" s="10">
        <f>AQ11-AT11</f>
        <v/>
      </c>
      <c r="AV11" s="11">
        <f>AU11</f>
        <v/>
      </c>
      <c r="AW11" s="3" t="n">
        <v>7</v>
      </c>
      <c r="AX11" s="18">
        <f>AN11</f>
        <v/>
      </c>
      <c r="AY11" s="8">
        <f>BF10</f>
        <v/>
      </c>
      <c r="AZ11" s="10" t="n">
        <v>0</v>
      </c>
      <c r="BA11" s="8">
        <f>AY11+AZ11</f>
        <v/>
      </c>
      <c r="BB11" s="61">
        <f>L11</f>
        <v/>
      </c>
      <c r="BC11" s="8" t="n">
        <v>0.03</v>
      </c>
      <c r="BD11" s="12">
        <f>BC11*BB11</f>
        <v/>
      </c>
      <c r="BE11" s="10">
        <f>BA11-BD11</f>
        <v/>
      </c>
      <c r="BF11" s="11">
        <f>BE11</f>
        <v/>
      </c>
      <c r="BG11" s="10">
        <f>AV11+BF11</f>
        <v/>
      </c>
      <c r="BI11" s="3" t="n">
        <v>7</v>
      </c>
      <c r="BJ11" s="18">
        <f>AX11</f>
        <v/>
      </c>
      <c r="BK11" s="8">
        <f>BR10</f>
        <v/>
      </c>
      <c r="BL11" s="10" t="n">
        <v>0</v>
      </c>
      <c r="BM11" s="8">
        <f>BK11+BL11</f>
        <v/>
      </c>
      <c r="BN11" s="61" t="n">
        <v>0</v>
      </c>
      <c r="BO11" s="8" t="n">
        <v>0.02</v>
      </c>
      <c r="BP11" s="10">
        <f>BN11*BO11</f>
        <v/>
      </c>
      <c r="BQ11" s="10">
        <f>BM11-BP11</f>
        <v/>
      </c>
      <c r="BR11" s="11">
        <f>BQ11</f>
        <v/>
      </c>
      <c r="BS11" s="3" t="n">
        <v>7</v>
      </c>
      <c r="BT11" s="18">
        <f>BJ11</f>
        <v/>
      </c>
      <c r="BU11" s="8">
        <f>CB10</f>
        <v/>
      </c>
      <c r="BV11" s="10" t="n">
        <v>0</v>
      </c>
      <c r="BW11" s="8">
        <f>BU11+BV11</f>
        <v/>
      </c>
      <c r="BX11" s="61" t="n">
        <v>0</v>
      </c>
      <c r="BY11" s="8" t="n">
        <v>0.03</v>
      </c>
      <c r="BZ11" s="12">
        <f>BY11*BX11</f>
        <v/>
      </c>
      <c r="CA11" s="10">
        <f>BW11-BZ11</f>
        <v/>
      </c>
      <c r="CB11" s="11">
        <f>CA11</f>
        <v/>
      </c>
      <c r="CC11" s="10">
        <f>BR11+CB11</f>
        <v/>
      </c>
      <c r="CE11" s="3" t="n">
        <v>7</v>
      </c>
      <c r="CF11" s="18">
        <f>BT11</f>
        <v/>
      </c>
      <c r="CG11" s="8">
        <f>CN10</f>
        <v/>
      </c>
      <c r="CH11" s="10" t="n">
        <v>0</v>
      </c>
      <c r="CI11" s="8">
        <f>CG11+CH11</f>
        <v/>
      </c>
      <c r="CJ11" s="61" t="n">
        <v>0</v>
      </c>
      <c r="CK11" s="8" t="n">
        <v>0.02</v>
      </c>
      <c r="CL11" s="10">
        <f>CJ11*CK11</f>
        <v/>
      </c>
      <c r="CM11" s="10">
        <f>CI11-CL11</f>
        <v/>
      </c>
      <c r="CN11" s="11">
        <f>CM11</f>
        <v/>
      </c>
      <c r="CO11" s="3" t="n">
        <v>7</v>
      </c>
      <c r="CP11" s="18">
        <f>CF11</f>
        <v/>
      </c>
      <c r="CQ11" s="8">
        <f>CX10</f>
        <v/>
      </c>
      <c r="CR11" s="10" t="n">
        <v>0</v>
      </c>
      <c r="CS11" s="8">
        <f>CQ11+CR11</f>
        <v/>
      </c>
      <c r="CT11" s="61" t="n">
        <v>0</v>
      </c>
      <c r="CU11" s="8" t="n">
        <v>0.03</v>
      </c>
      <c r="CV11" s="12">
        <f>CU11*CT11</f>
        <v/>
      </c>
      <c r="CW11" s="10">
        <f>CS11-CV11</f>
        <v/>
      </c>
      <c r="CX11" s="11">
        <f>CW11</f>
        <v/>
      </c>
      <c r="CY11" s="10">
        <f>CN11+CX11</f>
        <v/>
      </c>
      <c r="DA11" s="3" t="n">
        <v>7</v>
      </c>
      <c r="DB11" s="18">
        <f>CP11</f>
        <v/>
      </c>
      <c r="DC11" s="8">
        <f>DJ10</f>
        <v/>
      </c>
      <c r="DD11" s="10" t="n">
        <v>0</v>
      </c>
      <c r="DE11" s="8">
        <f>DC11+DD11</f>
        <v/>
      </c>
      <c r="DF11" s="61">
        <f>K11</f>
        <v/>
      </c>
      <c r="DG11" s="106" t="n">
        <v>0.0001</v>
      </c>
      <c r="DH11" s="10">
        <f>DF11*DG11</f>
        <v/>
      </c>
      <c r="DI11" s="10">
        <f>DE11-DH11</f>
        <v/>
      </c>
      <c r="DJ11" s="11">
        <f>DI11</f>
        <v/>
      </c>
      <c r="DK11" s="3" t="n">
        <v>7</v>
      </c>
      <c r="DL11" s="18">
        <f>DB11</f>
        <v/>
      </c>
      <c r="DM11" s="8">
        <f>DT10</f>
        <v/>
      </c>
      <c r="DN11" s="10" t="n">
        <v>0</v>
      </c>
      <c r="DO11" s="8">
        <f>DM11+DN11</f>
        <v/>
      </c>
      <c r="DP11" s="61">
        <f>L11</f>
        <v/>
      </c>
      <c r="DQ11" s="106" t="n">
        <v>0.0003</v>
      </c>
      <c r="DR11" s="12">
        <f>DQ11*DP11</f>
        <v/>
      </c>
      <c r="DS11" s="10">
        <f>DO11-DR11</f>
        <v/>
      </c>
      <c r="DT11" s="11">
        <f>DS11</f>
        <v/>
      </c>
      <c r="DU11" s="10">
        <f>DJ11+DT11</f>
        <v/>
      </c>
      <c r="DW11" s="3" t="n">
        <v>7</v>
      </c>
      <c r="DX11" s="18">
        <f>DL11</f>
        <v/>
      </c>
      <c r="DY11" s="8">
        <f>EF10</f>
        <v/>
      </c>
      <c r="DZ11" s="10" t="n">
        <v>0</v>
      </c>
      <c r="EA11" s="8">
        <f>DY11+DZ11</f>
        <v/>
      </c>
      <c r="EB11" s="61">
        <f>K11</f>
        <v/>
      </c>
      <c r="EC11" s="106" t="n">
        <v>0.0002</v>
      </c>
      <c r="ED11" s="10">
        <f>EB11*EC11</f>
        <v/>
      </c>
      <c r="EE11" s="10">
        <f>EA11-ED11</f>
        <v/>
      </c>
      <c r="EF11" s="11">
        <f>EE11</f>
        <v/>
      </c>
      <c r="EG11" s="3" t="n">
        <v>7</v>
      </c>
      <c r="EH11" s="18">
        <f>DX11</f>
        <v/>
      </c>
      <c r="EI11" s="8">
        <f>EP10</f>
        <v/>
      </c>
      <c r="EJ11" s="10" t="n">
        <v>0</v>
      </c>
      <c r="EK11" s="8">
        <f>EI11+EJ11</f>
        <v/>
      </c>
      <c r="EL11" s="61">
        <f>L11</f>
        <v/>
      </c>
      <c r="EM11" s="106" t="n">
        <v>0.0005999999999999999</v>
      </c>
      <c r="EN11" s="12">
        <f>EM11*EL11</f>
        <v/>
      </c>
      <c r="EO11" s="10">
        <f>EK11-EN11</f>
        <v/>
      </c>
      <c r="EP11" s="11">
        <f>EO11</f>
        <v/>
      </c>
      <c r="EQ11" s="10">
        <f>EF11+EP11</f>
        <v/>
      </c>
      <c r="ES11" s="3" t="n">
        <v>7</v>
      </c>
      <c r="ET11" s="18">
        <f>EH11</f>
        <v/>
      </c>
      <c r="EU11" s="8">
        <f>FB10</f>
        <v/>
      </c>
      <c r="EV11" s="10" t="n">
        <v>0</v>
      </c>
      <c r="EW11" s="8">
        <f>EU11+EV11</f>
        <v/>
      </c>
      <c r="EX11" s="61">
        <f>K11</f>
        <v/>
      </c>
      <c r="EY11" s="107" t="n">
        <v>0.002</v>
      </c>
      <c r="EZ11" s="10">
        <f>EX11*EY11</f>
        <v/>
      </c>
      <c r="FA11" s="10">
        <f>EW11-EZ11</f>
        <v/>
      </c>
      <c r="FB11" s="11">
        <f>FA11</f>
        <v/>
      </c>
      <c r="FC11" s="3" t="n">
        <v>7</v>
      </c>
      <c r="FD11" s="18">
        <f>ET11</f>
        <v/>
      </c>
      <c r="FE11" s="8">
        <f>FL10</f>
        <v/>
      </c>
      <c r="FF11" s="10" t="n">
        <v>0</v>
      </c>
      <c r="FG11" s="8">
        <f>FE11+FF11</f>
        <v/>
      </c>
      <c r="FH11" s="61">
        <f>L11</f>
        <v/>
      </c>
      <c r="FI11" s="107" t="n">
        <v>0.0025</v>
      </c>
      <c r="FJ11" s="12">
        <f>FI11*FH11</f>
        <v/>
      </c>
      <c r="FK11" s="10">
        <f>FG11-FJ11</f>
        <v/>
      </c>
      <c r="FL11" s="11">
        <f>FK11</f>
        <v/>
      </c>
      <c r="FM11" s="10">
        <f>FB11+FL11</f>
        <v/>
      </c>
      <c r="FO11" s="3" t="n">
        <v>7</v>
      </c>
      <c r="FP11" s="18">
        <f>FD11</f>
        <v/>
      </c>
      <c r="FQ11" s="8">
        <f>FX10</f>
        <v/>
      </c>
      <c r="FR11" s="10" t="n">
        <v>0</v>
      </c>
      <c r="FS11" s="8">
        <f>FQ11+FR11</f>
        <v/>
      </c>
      <c r="FT11" s="61">
        <f>K11</f>
        <v/>
      </c>
      <c r="FU11" s="8" t="n">
        <v>0.002</v>
      </c>
      <c r="FV11" s="10">
        <f>FT11*FU11</f>
        <v/>
      </c>
      <c r="FW11" s="10">
        <f>FS11-FV11</f>
        <v/>
      </c>
      <c r="FX11" s="11">
        <f>FW11</f>
        <v/>
      </c>
      <c r="FY11" s="3" t="n">
        <v>7</v>
      </c>
      <c r="FZ11" s="18">
        <f>FP11</f>
        <v/>
      </c>
      <c r="GA11" s="8">
        <f>GH10</f>
        <v/>
      </c>
      <c r="GB11" s="10" t="n">
        <v>0</v>
      </c>
      <c r="GC11" s="8">
        <f>GA11+GB11</f>
        <v/>
      </c>
      <c r="GD11" s="61">
        <f>L11</f>
        <v/>
      </c>
      <c r="GE11" s="8" t="n">
        <v>0.005</v>
      </c>
      <c r="GF11" s="12">
        <f>GE11*GD11</f>
        <v/>
      </c>
      <c r="GG11" s="10">
        <f>GC11-GF11</f>
        <v/>
      </c>
      <c r="GH11" s="11">
        <f>GG11</f>
        <v/>
      </c>
      <c r="GI11" s="10">
        <f>FX11+GH11</f>
        <v/>
      </c>
      <c r="GK11" s="3" t="n">
        <v>7</v>
      </c>
      <c r="GL11" s="18">
        <f>FZ11</f>
        <v/>
      </c>
      <c r="GM11" s="8">
        <f>GT10</f>
        <v/>
      </c>
      <c r="GN11" s="10" t="n">
        <v>0</v>
      </c>
      <c r="GO11" s="8">
        <f>GM11+GN11</f>
        <v/>
      </c>
      <c r="GP11" s="61">
        <f>K11</f>
        <v/>
      </c>
      <c r="GQ11" s="8" t="n">
        <v>0.005</v>
      </c>
      <c r="GR11" s="10">
        <f>GP11*GQ11</f>
        <v/>
      </c>
      <c r="GS11" s="10">
        <f>GO11-GR11</f>
        <v/>
      </c>
      <c r="GT11" s="11">
        <f>GS11</f>
        <v/>
      </c>
      <c r="GU11" s="3" t="n">
        <v>7</v>
      </c>
      <c r="GV11" s="18">
        <f>GL11</f>
        <v/>
      </c>
      <c r="GW11" s="8">
        <f>HD10</f>
        <v/>
      </c>
      <c r="GX11" s="10" t="n">
        <v>0</v>
      </c>
      <c r="GY11" s="8">
        <f>GW11+GX11</f>
        <v/>
      </c>
      <c r="GZ11" s="61">
        <f>L11</f>
        <v/>
      </c>
      <c r="HA11" s="8" t="n">
        <v>0.0075</v>
      </c>
      <c r="HB11" s="12">
        <f>HA11*GZ11</f>
        <v/>
      </c>
      <c r="HC11" s="10">
        <f>GY11-HB11</f>
        <v/>
      </c>
      <c r="HD11" s="11">
        <f>HC11</f>
        <v/>
      </c>
      <c r="HE11" s="10">
        <f>GT11+HD11</f>
        <v/>
      </c>
      <c r="HG11" s="3" t="n">
        <v>7</v>
      </c>
      <c r="HH11" s="18">
        <f>GV11</f>
        <v/>
      </c>
      <c r="HI11" s="61">
        <f>K11</f>
        <v/>
      </c>
      <c r="HJ11" s="22" t="n">
        <v>1</v>
      </c>
      <c r="HK11" s="23">
        <f>HI11*HJ11</f>
        <v/>
      </c>
      <c r="HL11" s="61" t="n">
        <v>0.89</v>
      </c>
      <c r="HM11" s="23">
        <f>HI11*HL11</f>
        <v/>
      </c>
      <c r="HN11" s="22" t="n">
        <v>0.7</v>
      </c>
      <c r="HO11" s="22">
        <f>HN11*HI11</f>
        <v/>
      </c>
      <c r="HP11" s="22" t="n">
        <v>2.59</v>
      </c>
      <c r="HQ11" s="9">
        <f>HI11*HP11</f>
        <v/>
      </c>
      <c r="HR11" s="3" t="n">
        <v>7</v>
      </c>
      <c r="HS11" s="18" t="n">
        <v>45114</v>
      </c>
      <c r="HT11" s="61">
        <f>L11</f>
        <v/>
      </c>
      <c r="HU11" s="22" t="n">
        <v>1.64</v>
      </c>
      <c r="HV11" s="23">
        <f>HT11*HU11</f>
        <v/>
      </c>
      <c r="HW11" s="61" t="n">
        <v>1.14</v>
      </c>
      <c r="HX11" s="23">
        <f>HT11*HW11</f>
        <v/>
      </c>
      <c r="HY11" s="22" t="n">
        <v>1.1</v>
      </c>
      <c r="HZ11" s="22">
        <f>HY11*HT11</f>
        <v/>
      </c>
      <c r="IA11" s="22" t="n">
        <v>3.11</v>
      </c>
      <c r="IB11" s="9">
        <f>HT11*IA11</f>
        <v/>
      </c>
      <c r="IC11" s="9">
        <f>HK11+HV11</f>
        <v/>
      </c>
      <c r="ID11" s="9">
        <f>HM11+HX11</f>
        <v/>
      </c>
      <c r="IE11" s="9">
        <f>HO11+HZ11</f>
        <v/>
      </c>
      <c r="IF11" s="103" t="n"/>
      <c r="IG11" s="109">
        <f>HH11</f>
        <v/>
      </c>
      <c r="IH11" s="132" t="inlineStr">
        <is>
          <t>cq/kokj</t>
        </is>
      </c>
      <c r="II11" s="140" t="inlineStr">
        <is>
          <t>gjcjk</t>
        </is>
      </c>
      <c r="IJ11" s="105">
        <f>IJ10</f>
        <v/>
      </c>
      <c r="IK11" s="105">
        <f>IJ11</f>
        <v/>
      </c>
      <c r="IL11" s="105">
        <f>K11</f>
        <v/>
      </c>
      <c r="IM11" s="105">
        <f>IL11*100</f>
        <v/>
      </c>
      <c r="IN11" s="105" t="n"/>
      <c r="IO11" s="105" t="n"/>
      <c r="IP11" s="105">
        <f>IL11*20</f>
        <v/>
      </c>
      <c r="IQ11" s="105">
        <f>IL11*0.3</f>
        <v/>
      </c>
      <c r="IR11" s="105">
        <f>IL11*0.4</f>
        <v/>
      </c>
      <c r="IS11" s="105">
        <f>IL11*1.5</f>
        <v/>
      </c>
      <c r="IT11" s="105">
        <f>IL11*5</f>
        <v/>
      </c>
      <c r="IU11" s="105">
        <f>IL11*2</f>
        <v/>
      </c>
      <c r="IV11" s="105">
        <f>IL11*2.08</f>
        <v/>
      </c>
      <c r="IW11" s="105" t="n"/>
      <c r="IX11" s="105">
        <f>IL11*2.08</f>
        <v/>
      </c>
      <c r="IY11" s="105" t="n"/>
      <c r="IZ11" s="109">
        <f>IG11</f>
        <v/>
      </c>
      <c r="JA11" s="132" t="inlineStr">
        <is>
          <t>cq/kokj</t>
        </is>
      </c>
      <c r="JB11" s="140" t="inlineStr">
        <is>
          <t>gjcjk</t>
        </is>
      </c>
      <c r="JC11" s="105">
        <f>JC10</f>
        <v/>
      </c>
      <c r="JD11" s="105">
        <f>JC11</f>
        <v/>
      </c>
      <c r="JE11" s="105">
        <f>L11</f>
        <v/>
      </c>
      <c r="JF11" s="105">
        <f>JE11*150</f>
        <v/>
      </c>
      <c r="JG11" s="105" t="n"/>
      <c r="JH11" s="105" t="n"/>
      <c r="JI11" s="105">
        <f>JE11*30</f>
        <v/>
      </c>
      <c r="JJ11" s="105">
        <f>JE11*0.25</f>
        <v/>
      </c>
      <c r="JK11" s="105">
        <f>JE11*0.4</f>
        <v/>
      </c>
      <c r="JL11" s="105">
        <f>JE11*2.5</f>
        <v/>
      </c>
      <c r="JM11" s="105">
        <f>JE11*7.5</f>
        <v/>
      </c>
      <c r="JN11" s="105">
        <f>JE11*4</f>
        <v/>
      </c>
      <c r="JO11" s="105">
        <f>JE11*3.11</f>
        <v/>
      </c>
      <c r="JP11" s="105" t="n"/>
      <c r="JQ11" s="105">
        <f>JE11*3.11</f>
        <v/>
      </c>
      <c r="JR11" s="105" t="n"/>
      <c r="JS11" s="103" t="n"/>
      <c r="JT11" s="59" t="n">
        <v>6</v>
      </c>
      <c r="JU11" s="30" t="inlineStr">
        <is>
          <t>eksgjh</t>
        </is>
      </c>
      <c r="JV11" s="38">
        <f>DJ35</f>
        <v/>
      </c>
      <c r="JW11" s="38">
        <f>DT35</f>
        <v/>
      </c>
      <c r="JX11" s="38">
        <f>SUM(JV11:JW11)</f>
        <v/>
      </c>
      <c r="JY11" s="56" t="n"/>
      <c r="JZ11" s="103" t="n"/>
      <c r="KA11" s="59" t="n">
        <v>6</v>
      </c>
      <c r="KB11" s="30" t="inlineStr">
        <is>
          <t>eksgjh</t>
        </is>
      </c>
      <c r="KC11" s="38">
        <f>JV11</f>
        <v/>
      </c>
      <c r="KD11" s="38">
        <f>DD36</f>
        <v/>
      </c>
      <c r="KE11" s="38">
        <f>DH36</f>
        <v/>
      </c>
      <c r="KF11" s="38" t="n"/>
      <c r="KG11" s="38">
        <f>JW11</f>
        <v/>
      </c>
      <c r="KH11" s="38">
        <f>DN36</f>
        <v/>
      </c>
      <c r="KI11" s="38">
        <f>DR36</f>
        <v/>
      </c>
      <c r="KJ11" s="72" t="n"/>
    </row>
    <row r="12" ht="35.1" customHeight="1">
      <c r="A12" s="132" t="inlineStr">
        <is>
          <t>cq/kokj</t>
        </is>
      </c>
      <c r="B12" s="114" t="inlineStr">
        <is>
          <t>08/04/2026</t>
        </is>
      </c>
      <c r="C12" s="108" t="n">
        <v>0</v>
      </c>
      <c r="D12" s="108">
        <f>C12</f>
        <v/>
      </c>
      <c r="E12" s="108" t="n">
        <v>0</v>
      </c>
      <c r="F12" s="108" t="n">
        <v>0</v>
      </c>
      <c r="G12" s="108" t="n">
        <v>0</v>
      </c>
      <c r="H12" s="108">
        <f>G12+F12+E12</f>
        <v/>
      </c>
      <c r="I12" s="132" t="inlineStr">
        <is>
          <t>cq/kokj</t>
        </is>
      </c>
      <c r="J12" s="114" t="inlineStr">
        <is>
          <t>08/04/2026</t>
        </is>
      </c>
      <c r="K12" s="61">
        <f>D12</f>
        <v/>
      </c>
      <c r="L12" s="61">
        <f>H12</f>
        <v/>
      </c>
      <c r="M12" s="61">
        <f>SUM(K12:L12)</f>
        <v/>
      </c>
      <c r="N12" s="140" t="inlineStr">
        <is>
          <t>eVdh</t>
        </is>
      </c>
      <c r="O12" s="89" t="n"/>
      <c r="Q12" s="3" t="n">
        <v>8</v>
      </c>
      <c r="R12" s="114" t="inlineStr">
        <is>
          <t>08/04/2026</t>
        </is>
      </c>
      <c r="S12" s="11">
        <f>Z11</f>
        <v/>
      </c>
      <c r="T12" s="10" t="n">
        <v>0</v>
      </c>
      <c r="U12" s="8">
        <f>S12+T12</f>
        <v/>
      </c>
      <c r="V12" s="61">
        <f>K12</f>
        <v/>
      </c>
      <c r="W12" s="8" t="n">
        <v>0.1</v>
      </c>
      <c r="X12" s="10">
        <f>V12*W12</f>
        <v/>
      </c>
      <c r="Y12" s="10">
        <f>U12-X12</f>
        <v/>
      </c>
      <c r="Z12" s="11">
        <f>Y12</f>
        <v/>
      </c>
      <c r="AA12" s="3" t="n">
        <v>8</v>
      </c>
      <c r="AB12" s="18">
        <f>R12</f>
        <v/>
      </c>
      <c r="AC12" s="8">
        <f>AJ11</f>
        <v/>
      </c>
      <c r="AD12" s="10" t="n">
        <v>0</v>
      </c>
      <c r="AE12" s="8">
        <f>AC12+AD12</f>
        <v/>
      </c>
      <c r="AF12" s="61">
        <f>L12</f>
        <v/>
      </c>
      <c r="AG12" s="8" t="n">
        <v>0.15</v>
      </c>
      <c r="AH12" s="12">
        <f>AG12*AF12</f>
        <v/>
      </c>
      <c r="AI12" s="10">
        <f>AE12-AH12</f>
        <v/>
      </c>
      <c r="AJ12" s="11">
        <f>AI12</f>
        <v/>
      </c>
      <c r="AK12" s="10">
        <f>Z12+AJ12</f>
        <v/>
      </c>
      <c r="AM12" s="3" t="n">
        <v>8</v>
      </c>
      <c r="AN12" s="18">
        <f>AB12</f>
        <v/>
      </c>
      <c r="AO12" s="8">
        <f>AV11</f>
        <v/>
      </c>
      <c r="AP12" s="10" t="n">
        <v>0</v>
      </c>
      <c r="AQ12" s="8">
        <f>AO12+AP12</f>
        <v/>
      </c>
      <c r="AR12" s="61" t="n">
        <v>0</v>
      </c>
      <c r="AS12" s="8" t="n">
        <v>0.02</v>
      </c>
      <c r="AT12" s="10">
        <f>AR12*AS12</f>
        <v/>
      </c>
      <c r="AU12" s="10">
        <f>AQ12-AT12</f>
        <v/>
      </c>
      <c r="AV12" s="11">
        <f>AU12</f>
        <v/>
      </c>
      <c r="AW12" s="3" t="n">
        <v>8</v>
      </c>
      <c r="AX12" s="18">
        <f>AN12</f>
        <v/>
      </c>
      <c r="AY12" s="8">
        <f>BF11</f>
        <v/>
      </c>
      <c r="AZ12" s="10" t="n">
        <v>0</v>
      </c>
      <c r="BA12" s="8">
        <f>AY12+AZ12</f>
        <v/>
      </c>
      <c r="BB12" s="61" t="n">
        <v>0</v>
      </c>
      <c r="BC12" s="8" t="n">
        <v>0.03</v>
      </c>
      <c r="BD12" s="12">
        <f>BC12*BB12</f>
        <v/>
      </c>
      <c r="BE12" s="10">
        <f>BA12-BD12</f>
        <v/>
      </c>
      <c r="BF12" s="11">
        <f>BE12</f>
        <v/>
      </c>
      <c r="BG12" s="10">
        <f>AV12+BF12</f>
        <v/>
      </c>
      <c r="BI12" s="3" t="n">
        <v>8</v>
      </c>
      <c r="BJ12" s="18">
        <f>AX12</f>
        <v/>
      </c>
      <c r="BK12" s="8">
        <f>BR11</f>
        <v/>
      </c>
      <c r="BL12" s="10" t="n">
        <v>0</v>
      </c>
      <c r="BM12" s="8">
        <f>BK12+BL12</f>
        <v/>
      </c>
      <c r="BN12" s="61" t="n">
        <v>0</v>
      </c>
      <c r="BO12" s="8" t="n">
        <v>0.02</v>
      </c>
      <c r="BP12" s="10">
        <f>BN12*BO12</f>
        <v/>
      </c>
      <c r="BQ12" s="10">
        <f>BM12-BP12</f>
        <v/>
      </c>
      <c r="BR12" s="11">
        <f>BQ12</f>
        <v/>
      </c>
      <c r="BS12" s="3" t="n">
        <v>8</v>
      </c>
      <c r="BT12" s="18">
        <f>BJ12</f>
        <v/>
      </c>
      <c r="BU12" s="8">
        <f>CB11</f>
        <v/>
      </c>
      <c r="BV12" s="10" t="n">
        <v>0</v>
      </c>
      <c r="BW12" s="8">
        <f>BU12+BV12</f>
        <v/>
      </c>
      <c r="BX12" s="61" t="n">
        <v>0</v>
      </c>
      <c r="BY12" s="8" t="n">
        <v>0.03</v>
      </c>
      <c r="BZ12" s="12">
        <f>BY12*BX12</f>
        <v/>
      </c>
      <c r="CA12" s="10">
        <f>BW12-BZ12</f>
        <v/>
      </c>
      <c r="CB12" s="11">
        <f>CA12</f>
        <v/>
      </c>
      <c r="CC12" s="10">
        <f>BR12+CB12</f>
        <v/>
      </c>
      <c r="CE12" s="3" t="n">
        <v>8</v>
      </c>
      <c r="CF12" s="18">
        <f>BT12</f>
        <v/>
      </c>
      <c r="CG12" s="8">
        <f>CN11</f>
        <v/>
      </c>
      <c r="CH12" s="10" t="n">
        <v>0</v>
      </c>
      <c r="CI12" s="8">
        <f>CG12+CH12</f>
        <v/>
      </c>
      <c r="CJ12" s="61">
        <f>K12</f>
        <v/>
      </c>
      <c r="CK12" s="8" t="n">
        <v>0.02</v>
      </c>
      <c r="CL12" s="10">
        <f>CJ12*CK12</f>
        <v/>
      </c>
      <c r="CM12" s="10">
        <f>CI12-CL12</f>
        <v/>
      </c>
      <c r="CN12" s="11">
        <f>CM12</f>
        <v/>
      </c>
      <c r="CO12" s="3" t="n">
        <v>8</v>
      </c>
      <c r="CP12" s="18">
        <f>CF12</f>
        <v/>
      </c>
      <c r="CQ12" s="8">
        <f>CX11</f>
        <v/>
      </c>
      <c r="CR12" s="10" t="n">
        <v>0</v>
      </c>
      <c r="CS12" s="8">
        <f>CQ12+CR12</f>
        <v/>
      </c>
      <c r="CT12" s="61">
        <f>L12</f>
        <v/>
      </c>
      <c r="CU12" s="8" t="n">
        <v>0.03</v>
      </c>
      <c r="CV12" s="12">
        <f>CU12*CT12</f>
        <v/>
      </c>
      <c r="CW12" s="10">
        <f>CS12-CV12</f>
        <v/>
      </c>
      <c r="CX12" s="11">
        <f>CW12</f>
        <v/>
      </c>
      <c r="CY12" s="10">
        <f>CN12+CX12</f>
        <v/>
      </c>
      <c r="DA12" s="3" t="n">
        <v>8</v>
      </c>
      <c r="DB12" s="18">
        <f>CP12</f>
        <v/>
      </c>
      <c r="DC12" s="8">
        <f>DJ11</f>
        <v/>
      </c>
      <c r="DD12" s="10" t="n">
        <v>0</v>
      </c>
      <c r="DE12" s="8">
        <f>DC12+DD12</f>
        <v/>
      </c>
      <c r="DF12" s="61">
        <f>K12</f>
        <v/>
      </c>
      <c r="DG12" s="106" t="n">
        <v>0.0001</v>
      </c>
      <c r="DH12" s="10">
        <f>DF12*DG12</f>
        <v/>
      </c>
      <c r="DI12" s="10">
        <f>DE12-DH12</f>
        <v/>
      </c>
      <c r="DJ12" s="11">
        <f>DI12</f>
        <v/>
      </c>
      <c r="DK12" s="3" t="n">
        <v>8</v>
      </c>
      <c r="DL12" s="18">
        <f>DB12</f>
        <v/>
      </c>
      <c r="DM12" s="8">
        <f>DT11</f>
        <v/>
      </c>
      <c r="DN12" s="10" t="n">
        <v>0</v>
      </c>
      <c r="DO12" s="8">
        <f>DM12+DN12</f>
        <v/>
      </c>
      <c r="DP12" s="61">
        <f>L12</f>
        <v/>
      </c>
      <c r="DQ12" s="106" t="n">
        <v>0.0003</v>
      </c>
      <c r="DR12" s="12">
        <f>DQ12*DP12</f>
        <v/>
      </c>
      <c r="DS12" s="10">
        <f>DO12-DR12</f>
        <v/>
      </c>
      <c r="DT12" s="11">
        <f>DS12</f>
        <v/>
      </c>
      <c r="DU12" s="10">
        <f>DJ12+DT12</f>
        <v/>
      </c>
      <c r="DW12" s="3" t="n">
        <v>8</v>
      </c>
      <c r="DX12" s="18">
        <f>DL12</f>
        <v/>
      </c>
      <c r="DY12" s="8">
        <f>EF11</f>
        <v/>
      </c>
      <c r="DZ12" s="10" t="n">
        <v>0</v>
      </c>
      <c r="EA12" s="8">
        <f>DY12+DZ12</f>
        <v/>
      </c>
      <c r="EB12" s="61">
        <f>K12</f>
        <v/>
      </c>
      <c r="EC12" s="106" t="n">
        <v>0.0002</v>
      </c>
      <c r="ED12" s="10">
        <f>EB12*EC12</f>
        <v/>
      </c>
      <c r="EE12" s="10">
        <f>EA12-ED12</f>
        <v/>
      </c>
      <c r="EF12" s="11">
        <f>EE12</f>
        <v/>
      </c>
      <c r="EG12" s="3" t="n">
        <v>8</v>
      </c>
      <c r="EH12" s="18">
        <f>DX12</f>
        <v/>
      </c>
      <c r="EI12" s="8">
        <f>EP11</f>
        <v/>
      </c>
      <c r="EJ12" s="10" t="n">
        <v>0</v>
      </c>
      <c r="EK12" s="8">
        <f>EI12+EJ12</f>
        <v/>
      </c>
      <c r="EL12" s="61">
        <f>L12</f>
        <v/>
      </c>
      <c r="EM12" s="106" t="n">
        <v>0.0005999999999999999</v>
      </c>
      <c r="EN12" s="12">
        <f>EM12*EL12</f>
        <v/>
      </c>
      <c r="EO12" s="10">
        <f>EK12-EN12</f>
        <v/>
      </c>
      <c r="EP12" s="11">
        <f>EO12</f>
        <v/>
      </c>
      <c r="EQ12" s="10">
        <f>EF12+EP12</f>
        <v/>
      </c>
      <c r="ES12" s="3" t="n">
        <v>8</v>
      </c>
      <c r="ET12" s="18">
        <f>EH12</f>
        <v/>
      </c>
      <c r="EU12" s="8">
        <f>FB11</f>
        <v/>
      </c>
      <c r="EV12" s="10" t="n">
        <v>0</v>
      </c>
      <c r="EW12" s="8">
        <f>EU12+EV12</f>
        <v/>
      </c>
      <c r="EX12" s="61">
        <f>K12</f>
        <v/>
      </c>
      <c r="EY12" s="107" t="n">
        <v>0.002</v>
      </c>
      <c r="EZ12" s="10">
        <f>EX12*EY12</f>
        <v/>
      </c>
      <c r="FA12" s="10">
        <f>EW12-EZ12</f>
        <v/>
      </c>
      <c r="FB12" s="11">
        <f>FA12</f>
        <v/>
      </c>
      <c r="FC12" s="3" t="n">
        <v>8</v>
      </c>
      <c r="FD12" s="18">
        <f>ET12</f>
        <v/>
      </c>
      <c r="FE12" s="8">
        <f>FL11</f>
        <v/>
      </c>
      <c r="FF12" s="10" t="n">
        <v>0</v>
      </c>
      <c r="FG12" s="8">
        <f>FE12+FF12</f>
        <v/>
      </c>
      <c r="FH12" s="61">
        <f>L12</f>
        <v/>
      </c>
      <c r="FI12" s="107" t="n">
        <v>0.0025</v>
      </c>
      <c r="FJ12" s="12">
        <f>FI12*FH12</f>
        <v/>
      </c>
      <c r="FK12" s="10">
        <f>FG12-FJ12</f>
        <v/>
      </c>
      <c r="FL12" s="11">
        <f>FK12</f>
        <v/>
      </c>
      <c r="FM12" s="10">
        <f>FB12+FL12</f>
        <v/>
      </c>
      <c r="FO12" s="3" t="n">
        <v>8</v>
      </c>
      <c r="FP12" s="18">
        <f>FD12</f>
        <v/>
      </c>
      <c r="FQ12" s="8">
        <f>FX11</f>
        <v/>
      </c>
      <c r="FR12" s="10" t="n">
        <v>0</v>
      </c>
      <c r="FS12" s="8">
        <f>FQ12+FR12</f>
        <v/>
      </c>
      <c r="FT12" s="61">
        <f>K12</f>
        <v/>
      </c>
      <c r="FU12" s="8" t="n">
        <v>0.002</v>
      </c>
      <c r="FV12" s="10">
        <f>FT12*FU12</f>
        <v/>
      </c>
      <c r="FW12" s="10">
        <f>FS12-FV12</f>
        <v/>
      </c>
      <c r="FX12" s="11">
        <f>FW12</f>
        <v/>
      </c>
      <c r="FY12" s="3" t="n">
        <v>8</v>
      </c>
      <c r="FZ12" s="18">
        <f>FP12</f>
        <v/>
      </c>
      <c r="GA12" s="8">
        <f>GH11</f>
        <v/>
      </c>
      <c r="GB12" s="10" t="n">
        <v>0</v>
      </c>
      <c r="GC12" s="8">
        <f>GA12+GB12</f>
        <v/>
      </c>
      <c r="GD12" s="61">
        <f>L12</f>
        <v/>
      </c>
      <c r="GE12" s="8" t="n">
        <v>0.005</v>
      </c>
      <c r="GF12" s="12">
        <f>GE12*GD12</f>
        <v/>
      </c>
      <c r="GG12" s="10">
        <f>GC12-GF12</f>
        <v/>
      </c>
      <c r="GH12" s="11">
        <f>GG12</f>
        <v/>
      </c>
      <c r="GI12" s="10">
        <f>FX12+GH12</f>
        <v/>
      </c>
      <c r="GK12" s="3" t="n">
        <v>8</v>
      </c>
      <c r="GL12" s="18">
        <f>FZ12</f>
        <v/>
      </c>
      <c r="GM12" s="8">
        <f>GT11</f>
        <v/>
      </c>
      <c r="GN12" s="10" t="n">
        <v>0</v>
      </c>
      <c r="GO12" s="8">
        <f>GM12+GN12</f>
        <v/>
      </c>
      <c r="GP12" s="61">
        <f>K12</f>
        <v/>
      </c>
      <c r="GQ12" s="8" t="n">
        <v>0.005</v>
      </c>
      <c r="GR12" s="10">
        <f>GP12*GQ12</f>
        <v/>
      </c>
      <c r="GS12" s="10">
        <f>GO12-GR12</f>
        <v/>
      </c>
      <c r="GT12" s="11">
        <f>GS12</f>
        <v/>
      </c>
      <c r="GU12" s="3" t="n">
        <v>8</v>
      </c>
      <c r="GV12" s="18">
        <f>GL12</f>
        <v/>
      </c>
      <c r="GW12" s="8">
        <f>HD11</f>
        <v/>
      </c>
      <c r="GX12" s="10" t="n">
        <v>0</v>
      </c>
      <c r="GY12" s="8">
        <f>GW12+GX12</f>
        <v/>
      </c>
      <c r="GZ12" s="61">
        <f>L12</f>
        <v/>
      </c>
      <c r="HA12" s="8" t="n">
        <v>0.0075</v>
      </c>
      <c r="HB12" s="12">
        <f>HA12*GZ12</f>
        <v/>
      </c>
      <c r="HC12" s="10">
        <f>GY12-HB12</f>
        <v/>
      </c>
      <c r="HD12" s="11">
        <f>HC12</f>
        <v/>
      </c>
      <c r="HE12" s="10">
        <f>GT12+HD12</f>
        <v/>
      </c>
      <c r="HG12" s="3" t="n">
        <v>8</v>
      </c>
      <c r="HH12" s="18">
        <f>GV12</f>
        <v/>
      </c>
      <c r="HI12" s="61">
        <f>K12</f>
        <v/>
      </c>
      <c r="HJ12" s="22" t="n">
        <v>1</v>
      </c>
      <c r="HK12" s="23">
        <f>HI12*HJ12</f>
        <v/>
      </c>
      <c r="HL12" s="61" t="n">
        <v>0.89</v>
      </c>
      <c r="HM12" s="23">
        <f>HI12*HL12</f>
        <v/>
      </c>
      <c r="HN12" s="22" t="n">
        <v>0.7</v>
      </c>
      <c r="HO12" s="22">
        <f>HN12*HI12</f>
        <v/>
      </c>
      <c r="HP12" s="22" t="n">
        <v>2.59</v>
      </c>
      <c r="HQ12" s="9">
        <f>HI12*HP12</f>
        <v/>
      </c>
      <c r="HR12" s="3" t="n">
        <v>8</v>
      </c>
      <c r="HS12" s="18" t="n">
        <v>45145</v>
      </c>
      <c r="HT12" s="61">
        <f>L12</f>
        <v/>
      </c>
      <c r="HU12" s="22" t="n">
        <v>1.64</v>
      </c>
      <c r="HV12" s="23">
        <f>HT12*HU12</f>
        <v/>
      </c>
      <c r="HW12" s="61" t="n">
        <v>1.14</v>
      </c>
      <c r="HX12" s="23">
        <f>HT12*HW12</f>
        <v/>
      </c>
      <c r="HY12" s="22" t="n">
        <v>1.1</v>
      </c>
      <c r="HZ12" s="22">
        <f>HY12*HT12</f>
        <v/>
      </c>
      <c r="IA12" s="22" t="n">
        <v>3.11</v>
      </c>
      <c r="IB12" s="9">
        <f>HT12*IA12</f>
        <v/>
      </c>
      <c r="IC12" s="9">
        <f>HK12+HV12</f>
        <v/>
      </c>
      <c r="ID12" s="9">
        <f>HM12+HX12</f>
        <v/>
      </c>
      <c r="IE12" s="9">
        <f>HO12+HZ12</f>
        <v/>
      </c>
      <c r="IF12" s="103" t="n"/>
      <c r="IG12" s="109">
        <f>HH12</f>
        <v/>
      </c>
      <c r="IH12" s="132" t="inlineStr">
        <is>
          <t>xq:okj</t>
        </is>
      </c>
      <c r="II12" s="140" t="inlineStr">
        <is>
          <t>elqj nkG</t>
        </is>
      </c>
      <c r="IJ12" s="105">
        <f>IJ11</f>
        <v/>
      </c>
      <c r="IK12" s="105">
        <f>IJ12</f>
        <v/>
      </c>
      <c r="IL12" s="105">
        <f>K12</f>
        <v/>
      </c>
      <c r="IM12" s="105">
        <f>IL12*100</f>
        <v/>
      </c>
      <c r="IN12" s="105">
        <f>IL12*20</f>
        <v/>
      </c>
      <c r="IO12" s="105" t="n"/>
      <c r="IP12" s="105" t="n"/>
      <c r="IQ12" s="105">
        <f>IL12*0.3</f>
        <v/>
      </c>
      <c r="IR12" s="105">
        <f>IL12*0.4</f>
        <v/>
      </c>
      <c r="IS12" s="105">
        <f>IL12*1.5</f>
        <v/>
      </c>
      <c r="IT12" s="105">
        <f>IL12*5</f>
        <v/>
      </c>
      <c r="IU12" s="105">
        <f>IL12*2</f>
        <v/>
      </c>
      <c r="IV12" s="105">
        <f>IL12*2.08</f>
        <v/>
      </c>
      <c r="IW12" s="105" t="n"/>
      <c r="IX12" s="105">
        <f>IL12*2.08</f>
        <v/>
      </c>
      <c r="IY12" s="105" t="n"/>
      <c r="IZ12" s="109">
        <f>IG12</f>
        <v/>
      </c>
      <c r="JA12" s="132" t="inlineStr">
        <is>
          <t>xq:okj</t>
        </is>
      </c>
      <c r="JB12" s="140" t="inlineStr">
        <is>
          <t>elqj nkG</t>
        </is>
      </c>
      <c r="JC12" s="105">
        <f>JC11</f>
        <v/>
      </c>
      <c r="JD12" s="105">
        <f>JC12</f>
        <v/>
      </c>
      <c r="JE12" s="105">
        <f>L12</f>
        <v/>
      </c>
      <c r="JF12" s="105">
        <f>JE12*150</f>
        <v/>
      </c>
      <c r="JG12" s="105">
        <f>JE12*30</f>
        <v/>
      </c>
      <c r="JH12" s="105" t="n"/>
      <c r="JI12" s="105" t="n"/>
      <c r="JJ12" s="105">
        <f>JE12*0.25</f>
        <v/>
      </c>
      <c r="JK12" s="105">
        <f>JE12*0.4</f>
        <v/>
      </c>
      <c r="JL12" s="105">
        <f>JE12*2.5</f>
        <v/>
      </c>
      <c r="JM12" s="105">
        <f>JE12*7.5</f>
        <v/>
      </c>
      <c r="JN12" s="105">
        <f>JE12*4</f>
        <v/>
      </c>
      <c r="JO12" s="105">
        <f>JE12*3.11</f>
        <v/>
      </c>
      <c r="JP12" s="105" t="n"/>
      <c r="JQ12" s="105">
        <f>JE12*3.11</f>
        <v/>
      </c>
      <c r="JR12" s="105" t="n"/>
      <c r="JS12" s="103" t="n"/>
      <c r="JT12" s="59" t="n">
        <v>6</v>
      </c>
      <c r="JU12" s="30" t="n"/>
      <c r="JV12" s="38">
        <f>DJ36</f>
        <v/>
      </c>
      <c r="JW12" s="38">
        <f>DT36</f>
        <v/>
      </c>
      <c r="JX12" s="38">
        <f>SUM(JV12:JW12)</f>
        <v/>
      </c>
      <c r="JY12" s="56" t="n"/>
      <c r="JZ12" s="103" t="n"/>
      <c r="KA12" s="59" t="n">
        <v>6</v>
      </c>
      <c r="KB12" s="30" t="n"/>
      <c r="KC12" s="38">
        <f>JV12</f>
        <v/>
      </c>
      <c r="KD12" s="38" t="n"/>
      <c r="KE12" s="38" t="n"/>
      <c r="KF12" s="38" t="n"/>
      <c r="KG12" s="38">
        <f>JW12</f>
        <v/>
      </c>
      <c r="KH12" s="38" t="n"/>
      <c r="KI12" s="38" t="n"/>
      <c r="KJ12" s="72" t="n"/>
    </row>
    <row r="13" ht="35.1" customHeight="1">
      <c r="A13" s="132" t="inlineStr">
        <is>
          <t>xq:okj</t>
        </is>
      </c>
      <c r="B13" s="114" t="inlineStr">
        <is>
          <t>09/04/2026</t>
        </is>
      </c>
      <c r="C13" s="108" t="n">
        <v>0</v>
      </c>
      <c r="D13" s="108">
        <f>C13</f>
        <v/>
      </c>
      <c r="E13" s="108" t="n">
        <v>0</v>
      </c>
      <c r="F13" s="108" t="n">
        <v>0</v>
      </c>
      <c r="G13" s="108" t="n">
        <v>0</v>
      </c>
      <c r="H13" s="108">
        <f>G13+F13+E13</f>
        <v/>
      </c>
      <c r="I13" s="132" t="inlineStr">
        <is>
          <t>xq:okj</t>
        </is>
      </c>
      <c r="J13" s="114" t="inlineStr">
        <is>
          <t>09/04/2026</t>
        </is>
      </c>
      <c r="K13" s="61">
        <f>D13</f>
        <v/>
      </c>
      <c r="L13" s="61">
        <f>H13</f>
        <v/>
      </c>
      <c r="M13" s="61">
        <f>SUM(K13:L13)</f>
        <v/>
      </c>
      <c r="N13" s="140" t="inlineStr">
        <is>
          <t>elqj nkG</t>
        </is>
      </c>
      <c r="O13" s="89" t="n"/>
      <c r="Q13" s="3" t="n">
        <v>9</v>
      </c>
      <c r="R13" s="114" t="inlineStr">
        <is>
          <t>09/04/2026</t>
        </is>
      </c>
      <c r="S13" s="11">
        <f>Z12</f>
        <v/>
      </c>
      <c r="T13" s="10" t="n">
        <v>0</v>
      </c>
      <c r="U13" s="8">
        <f>S13+T13</f>
        <v/>
      </c>
      <c r="V13" s="61">
        <f>K13</f>
        <v/>
      </c>
      <c r="W13" s="8" t="n">
        <v>0.1</v>
      </c>
      <c r="X13" s="10">
        <f>V13*W13</f>
        <v/>
      </c>
      <c r="Y13" s="10">
        <f>U13-X13</f>
        <v/>
      </c>
      <c r="Z13" s="11">
        <f>Y13</f>
        <v/>
      </c>
      <c r="AA13" s="3" t="n">
        <v>9</v>
      </c>
      <c r="AB13" s="18">
        <f>R13</f>
        <v/>
      </c>
      <c r="AC13" s="8">
        <f>AJ12</f>
        <v/>
      </c>
      <c r="AD13" s="10" t="n">
        <v>0</v>
      </c>
      <c r="AE13" s="8">
        <f>AC13+AD13</f>
        <v/>
      </c>
      <c r="AF13" s="61">
        <f>L13</f>
        <v/>
      </c>
      <c r="AG13" s="8" t="n">
        <v>0.15</v>
      </c>
      <c r="AH13" s="12">
        <f>AG13*AF13</f>
        <v/>
      </c>
      <c r="AI13" s="10">
        <f>AE13-AH13</f>
        <v/>
      </c>
      <c r="AJ13" s="11">
        <f>AI13</f>
        <v/>
      </c>
      <c r="AK13" s="10">
        <f>Z13+AJ13</f>
        <v/>
      </c>
      <c r="AM13" s="3" t="n">
        <v>9</v>
      </c>
      <c r="AN13" s="18">
        <f>AB13</f>
        <v/>
      </c>
      <c r="AO13" s="8">
        <f>AV12</f>
        <v/>
      </c>
      <c r="AP13" s="10" t="n">
        <v>0</v>
      </c>
      <c r="AQ13" s="8">
        <f>AO13+AP13</f>
        <v/>
      </c>
      <c r="AR13" s="61" t="n">
        <v>0</v>
      </c>
      <c r="AS13" s="8" t="n">
        <v>0.02</v>
      </c>
      <c r="AT13" s="10">
        <f>AR13*AS13</f>
        <v/>
      </c>
      <c r="AU13" s="10">
        <f>AQ13-AT13</f>
        <v/>
      </c>
      <c r="AV13" s="11">
        <f>AU13</f>
        <v/>
      </c>
      <c r="AW13" s="3" t="n">
        <v>9</v>
      </c>
      <c r="AX13" s="18">
        <f>AN13</f>
        <v/>
      </c>
      <c r="AY13" s="8">
        <f>BF12</f>
        <v/>
      </c>
      <c r="AZ13" s="10" t="n">
        <v>0</v>
      </c>
      <c r="BA13" s="8">
        <f>AY13+AZ13</f>
        <v/>
      </c>
      <c r="BB13" s="61" t="n">
        <v>0</v>
      </c>
      <c r="BC13" s="8" t="n">
        <v>0.03</v>
      </c>
      <c r="BD13" s="12">
        <f>BC13*BB13</f>
        <v/>
      </c>
      <c r="BE13" s="10">
        <f>BA13-BD13</f>
        <v/>
      </c>
      <c r="BF13" s="11">
        <f>BE13</f>
        <v/>
      </c>
      <c r="BG13" s="10">
        <f>AV13+BF13</f>
        <v/>
      </c>
      <c r="BI13" s="3" t="n">
        <v>9</v>
      </c>
      <c r="BJ13" s="18">
        <f>AX13</f>
        <v/>
      </c>
      <c r="BK13" s="8">
        <f>BR12</f>
        <v/>
      </c>
      <c r="BL13" s="10" t="n">
        <v>0</v>
      </c>
      <c r="BM13" s="8">
        <f>BK13+BL13</f>
        <v/>
      </c>
      <c r="BN13" s="61">
        <f>K13</f>
        <v/>
      </c>
      <c r="BO13" s="8" t="n">
        <v>0.02</v>
      </c>
      <c r="BP13" s="10">
        <f>BN13*BO13</f>
        <v/>
      </c>
      <c r="BQ13" s="10">
        <f>BM13-BP13</f>
        <v/>
      </c>
      <c r="BR13" s="11">
        <f>BQ13</f>
        <v/>
      </c>
      <c r="BS13" s="3" t="n">
        <v>9</v>
      </c>
      <c r="BT13" s="18">
        <f>BJ13</f>
        <v/>
      </c>
      <c r="BU13" s="8">
        <f>CB12</f>
        <v/>
      </c>
      <c r="BV13" s="10" t="n">
        <v>0</v>
      </c>
      <c r="BW13" s="8">
        <f>BU13+BV13</f>
        <v/>
      </c>
      <c r="BX13" s="61">
        <f>L13</f>
        <v/>
      </c>
      <c r="BY13" s="8" t="n">
        <v>0.03</v>
      </c>
      <c r="BZ13" s="12">
        <f>BY13*BX13</f>
        <v/>
      </c>
      <c r="CA13" s="10">
        <f>BW13-BZ13</f>
        <v/>
      </c>
      <c r="CB13" s="11">
        <f>CA13</f>
        <v/>
      </c>
      <c r="CC13" s="10">
        <f>BR13+CB13</f>
        <v/>
      </c>
      <c r="CE13" s="3" t="n">
        <v>9</v>
      </c>
      <c r="CF13" s="18">
        <f>BT13</f>
        <v/>
      </c>
      <c r="CG13" s="8">
        <f>CN12</f>
        <v/>
      </c>
      <c r="CH13" s="10" t="n">
        <v>0</v>
      </c>
      <c r="CI13" s="8">
        <f>CG13+CH13</f>
        <v/>
      </c>
      <c r="CJ13" s="61" t="n">
        <v>0</v>
      </c>
      <c r="CK13" s="8" t="n">
        <v>0.02</v>
      </c>
      <c r="CL13" s="10">
        <f>CJ13*CK13</f>
        <v/>
      </c>
      <c r="CM13" s="10">
        <f>CI13-CL13</f>
        <v/>
      </c>
      <c r="CN13" s="11">
        <f>CM13</f>
        <v/>
      </c>
      <c r="CO13" s="3" t="n">
        <v>9</v>
      </c>
      <c r="CP13" s="18">
        <f>CF13</f>
        <v/>
      </c>
      <c r="CQ13" s="8">
        <f>CX12</f>
        <v/>
      </c>
      <c r="CR13" s="10" t="n">
        <v>0</v>
      </c>
      <c r="CS13" s="8">
        <f>CQ13+CR13</f>
        <v/>
      </c>
      <c r="CT13" s="61" t="n">
        <v>0</v>
      </c>
      <c r="CU13" s="8" t="n">
        <v>0.03</v>
      </c>
      <c r="CV13" s="12">
        <f>CU13*CT13</f>
        <v/>
      </c>
      <c r="CW13" s="10">
        <f>CS13-CV13</f>
        <v/>
      </c>
      <c r="CX13" s="11">
        <f>CW13</f>
        <v/>
      </c>
      <c r="CY13" s="10">
        <f>CN13+CX13</f>
        <v/>
      </c>
      <c r="DA13" s="3" t="n">
        <v>9</v>
      </c>
      <c r="DB13" s="18">
        <f>CP13</f>
        <v/>
      </c>
      <c r="DC13" s="8">
        <f>DJ12</f>
        <v/>
      </c>
      <c r="DD13" s="10" t="n">
        <v>0</v>
      </c>
      <c r="DE13" s="8">
        <f>DC13+DD13</f>
        <v/>
      </c>
      <c r="DF13" s="61">
        <f>K13</f>
        <v/>
      </c>
      <c r="DG13" s="106" t="n">
        <v>0.0001</v>
      </c>
      <c r="DH13" s="10">
        <f>DF13*DG13</f>
        <v/>
      </c>
      <c r="DI13" s="10">
        <f>DE13-DH13</f>
        <v/>
      </c>
      <c r="DJ13" s="11">
        <f>DI13</f>
        <v/>
      </c>
      <c r="DK13" s="3" t="n">
        <v>9</v>
      </c>
      <c r="DL13" s="18">
        <f>DB13</f>
        <v/>
      </c>
      <c r="DM13" s="8">
        <f>DT12</f>
        <v/>
      </c>
      <c r="DN13" s="10" t="n">
        <v>0</v>
      </c>
      <c r="DO13" s="8">
        <f>DM13+DN13</f>
        <v/>
      </c>
      <c r="DP13" s="61">
        <f>L13</f>
        <v/>
      </c>
      <c r="DQ13" s="106" t="n">
        <v>0.0003</v>
      </c>
      <c r="DR13" s="12">
        <f>DQ13*DP13</f>
        <v/>
      </c>
      <c r="DS13" s="10">
        <f>DO13-DR13</f>
        <v/>
      </c>
      <c r="DT13" s="11">
        <f>DS13</f>
        <v/>
      </c>
      <c r="DU13" s="10">
        <f>DJ13+DT13</f>
        <v/>
      </c>
      <c r="DW13" s="3" t="n">
        <v>9</v>
      </c>
      <c r="DX13" s="18">
        <f>DL13</f>
        <v/>
      </c>
      <c r="DY13" s="8">
        <f>EF12</f>
        <v/>
      </c>
      <c r="DZ13" s="10" t="n">
        <v>0</v>
      </c>
      <c r="EA13" s="8">
        <f>DY13+DZ13</f>
        <v/>
      </c>
      <c r="EB13" s="61">
        <f>K13</f>
        <v/>
      </c>
      <c r="EC13" s="106" t="n">
        <v>0.0002</v>
      </c>
      <c r="ED13" s="10">
        <f>EB13*EC13</f>
        <v/>
      </c>
      <c r="EE13" s="10">
        <f>EA13-ED13</f>
        <v/>
      </c>
      <c r="EF13" s="11">
        <f>EE13</f>
        <v/>
      </c>
      <c r="EG13" s="3" t="n">
        <v>9</v>
      </c>
      <c r="EH13" s="18">
        <f>DX13</f>
        <v/>
      </c>
      <c r="EI13" s="8">
        <f>EP12</f>
        <v/>
      </c>
      <c r="EJ13" s="10" t="n">
        <v>0</v>
      </c>
      <c r="EK13" s="8">
        <f>EI13+EJ13</f>
        <v/>
      </c>
      <c r="EL13" s="61">
        <f>L13</f>
        <v/>
      </c>
      <c r="EM13" s="106" t="n">
        <v>0.0005999999999999999</v>
      </c>
      <c r="EN13" s="12">
        <f>EM13*EL13</f>
        <v/>
      </c>
      <c r="EO13" s="10">
        <f>EK13-EN13</f>
        <v/>
      </c>
      <c r="EP13" s="11">
        <f>EO13</f>
        <v/>
      </c>
      <c r="EQ13" s="10">
        <f>EF13+EP13</f>
        <v/>
      </c>
      <c r="ES13" s="3" t="n">
        <v>9</v>
      </c>
      <c r="ET13" s="18">
        <f>EH13</f>
        <v/>
      </c>
      <c r="EU13" s="8">
        <f>FB12</f>
        <v/>
      </c>
      <c r="EV13" s="10" t="n">
        <v>0</v>
      </c>
      <c r="EW13" s="8">
        <f>EU13+EV13</f>
        <v/>
      </c>
      <c r="EX13" s="61">
        <f>K13</f>
        <v/>
      </c>
      <c r="EY13" s="107" t="n">
        <v>0.002</v>
      </c>
      <c r="EZ13" s="10">
        <f>EX13*EY13</f>
        <v/>
      </c>
      <c r="FA13" s="10">
        <f>EW13-EZ13</f>
        <v/>
      </c>
      <c r="FB13" s="11">
        <f>FA13</f>
        <v/>
      </c>
      <c r="FC13" s="3" t="n">
        <v>9</v>
      </c>
      <c r="FD13" s="18">
        <f>ET13</f>
        <v/>
      </c>
      <c r="FE13" s="8">
        <f>FL12</f>
        <v/>
      </c>
      <c r="FF13" s="10" t="n">
        <v>0</v>
      </c>
      <c r="FG13" s="8">
        <f>FE13+FF13</f>
        <v/>
      </c>
      <c r="FH13" s="61">
        <f>L13</f>
        <v/>
      </c>
      <c r="FI13" s="107" t="n">
        <v>0.0025</v>
      </c>
      <c r="FJ13" s="12">
        <f>FI13*FH13</f>
        <v/>
      </c>
      <c r="FK13" s="10">
        <f>FG13-FJ13</f>
        <v/>
      </c>
      <c r="FL13" s="11">
        <f>FK13</f>
        <v/>
      </c>
      <c r="FM13" s="10">
        <f>FB13+FL13</f>
        <v/>
      </c>
      <c r="FO13" s="3" t="n">
        <v>9</v>
      </c>
      <c r="FP13" s="18">
        <f>FD13</f>
        <v/>
      </c>
      <c r="FQ13" s="8">
        <f>FX12</f>
        <v/>
      </c>
      <c r="FR13" s="10" t="n">
        <v>0</v>
      </c>
      <c r="FS13" s="8">
        <f>FQ13+FR13</f>
        <v/>
      </c>
      <c r="FT13" s="61">
        <f>K13</f>
        <v/>
      </c>
      <c r="FU13" s="8" t="n">
        <v>0.002</v>
      </c>
      <c r="FV13" s="10">
        <f>FT13*FU13</f>
        <v/>
      </c>
      <c r="FW13" s="10">
        <f>FS13-FV13</f>
        <v/>
      </c>
      <c r="FX13" s="11">
        <f>FW13</f>
        <v/>
      </c>
      <c r="FY13" s="3" t="n">
        <v>9</v>
      </c>
      <c r="FZ13" s="18">
        <f>FP13</f>
        <v/>
      </c>
      <c r="GA13" s="8">
        <f>GH12</f>
        <v/>
      </c>
      <c r="GB13" s="10" t="n">
        <v>0</v>
      </c>
      <c r="GC13" s="8">
        <f>GA13+GB13</f>
        <v/>
      </c>
      <c r="GD13" s="61">
        <f>L13</f>
        <v/>
      </c>
      <c r="GE13" s="8" t="n">
        <v>0.005</v>
      </c>
      <c r="GF13" s="12">
        <f>GE13*GD13</f>
        <v/>
      </c>
      <c r="GG13" s="10">
        <f>GC13-GF13</f>
        <v/>
      </c>
      <c r="GH13" s="11">
        <f>GG13</f>
        <v/>
      </c>
      <c r="GI13" s="10">
        <f>FX13+GH13</f>
        <v/>
      </c>
      <c r="GK13" s="3" t="n">
        <v>9</v>
      </c>
      <c r="GL13" s="18">
        <f>FZ13</f>
        <v/>
      </c>
      <c r="GM13" s="8">
        <f>GT12</f>
        <v/>
      </c>
      <c r="GN13" s="10" t="n">
        <v>0</v>
      </c>
      <c r="GO13" s="8">
        <f>GM13+GN13</f>
        <v/>
      </c>
      <c r="GP13" s="61">
        <f>K13</f>
        <v/>
      </c>
      <c r="GQ13" s="8" t="n">
        <v>0.005</v>
      </c>
      <c r="GR13" s="10">
        <f>GP13*GQ13</f>
        <v/>
      </c>
      <c r="GS13" s="10">
        <f>GO13-GR13</f>
        <v/>
      </c>
      <c r="GT13" s="11">
        <f>GS13</f>
        <v/>
      </c>
      <c r="GU13" s="3" t="n">
        <v>9</v>
      </c>
      <c r="GV13" s="18">
        <f>GL13</f>
        <v/>
      </c>
      <c r="GW13" s="8">
        <f>HD12</f>
        <v/>
      </c>
      <c r="GX13" s="10" t="n">
        <v>0</v>
      </c>
      <c r="GY13" s="8">
        <f>GW13+GX13</f>
        <v/>
      </c>
      <c r="GZ13" s="61">
        <f>L13</f>
        <v/>
      </c>
      <c r="HA13" s="8" t="n">
        <v>0.0075</v>
      </c>
      <c r="HB13" s="12">
        <f>HA13*GZ13</f>
        <v/>
      </c>
      <c r="HC13" s="10">
        <f>GY13-HB13</f>
        <v/>
      </c>
      <c r="HD13" s="11">
        <f>HC13</f>
        <v/>
      </c>
      <c r="HE13" s="10">
        <f>GT13+HD13</f>
        <v/>
      </c>
      <c r="HG13" s="3" t="n">
        <v>9</v>
      </c>
      <c r="HH13" s="18">
        <f>GV13</f>
        <v/>
      </c>
      <c r="HI13" s="61">
        <f>K13</f>
        <v/>
      </c>
      <c r="HJ13" s="22" t="n">
        <v>1</v>
      </c>
      <c r="HK13" s="23">
        <f>HI13*HJ13</f>
        <v/>
      </c>
      <c r="HL13" s="61" t="n">
        <v>0.89</v>
      </c>
      <c r="HM13" s="23">
        <f>HI13*HL13</f>
        <v/>
      </c>
      <c r="HN13" s="22" t="n">
        <v>0.7</v>
      </c>
      <c r="HO13" s="22">
        <f>HN13*HI13</f>
        <v/>
      </c>
      <c r="HP13" s="22" t="n">
        <v>2.59</v>
      </c>
      <c r="HQ13" s="9">
        <f>HI13*HP13</f>
        <v/>
      </c>
      <c r="HR13" s="3" t="n">
        <v>9</v>
      </c>
      <c r="HS13" s="18" t="n">
        <v>45176</v>
      </c>
      <c r="HT13" s="61">
        <f>L13</f>
        <v/>
      </c>
      <c r="HU13" s="22" t="n">
        <v>1.64</v>
      </c>
      <c r="HV13" s="23">
        <f>HT13*HU13</f>
        <v/>
      </c>
      <c r="HW13" s="61" t="n">
        <v>1.14</v>
      </c>
      <c r="HX13" s="23">
        <f>HT13*HW13</f>
        <v/>
      </c>
      <c r="HY13" s="22" t="n">
        <v>1.1</v>
      </c>
      <c r="HZ13" s="22">
        <f>HY13*HT13</f>
        <v/>
      </c>
      <c r="IA13" s="22" t="n">
        <v>3.11</v>
      </c>
      <c r="IB13" s="9">
        <f>HT13*IA13</f>
        <v/>
      </c>
      <c r="IC13" s="9">
        <f>HK13+HV13</f>
        <v/>
      </c>
      <c r="ID13" s="9">
        <f>HM13+HX13</f>
        <v/>
      </c>
      <c r="IE13" s="9">
        <f>HO13+HZ13</f>
        <v/>
      </c>
      <c r="IF13" s="103" t="n"/>
      <c r="IG13" s="109">
        <f>HH13</f>
        <v/>
      </c>
      <c r="IH13" s="132" t="inlineStr">
        <is>
          <t xml:space="preserve"> 'kqdzokj</t>
        </is>
      </c>
      <c r="II13" s="140" t="inlineStr">
        <is>
          <t>okVk.kk</t>
        </is>
      </c>
      <c r="IJ13" s="105">
        <f>IJ12</f>
        <v/>
      </c>
      <c r="IK13" s="105">
        <f>IJ13</f>
        <v/>
      </c>
      <c r="IL13" s="105">
        <f>K13</f>
        <v/>
      </c>
      <c r="IM13" s="105">
        <f>IL13*100</f>
        <v/>
      </c>
      <c r="IN13" s="105" t="n"/>
      <c r="IO13" s="105">
        <f>IL13*20</f>
        <v/>
      </c>
      <c r="IP13" s="105" t="n"/>
      <c r="IQ13" s="105">
        <f>IL13*0.3</f>
        <v/>
      </c>
      <c r="IR13" s="105">
        <f>IL13*0.4</f>
        <v/>
      </c>
      <c r="IS13" s="105">
        <f>IL13*1.5</f>
        <v/>
      </c>
      <c r="IT13" s="105">
        <f>IL13*5</f>
        <v/>
      </c>
      <c r="IU13" s="105">
        <f>IL13*2</f>
        <v/>
      </c>
      <c r="IV13" s="105">
        <f>IL13*2.08</f>
        <v/>
      </c>
      <c r="IW13" s="105" t="n"/>
      <c r="IX13" s="105">
        <f>IL13*2.08</f>
        <v/>
      </c>
      <c r="IY13" s="105" t="n"/>
      <c r="IZ13" s="109">
        <f>IG13</f>
        <v/>
      </c>
      <c r="JA13" s="132" t="inlineStr">
        <is>
          <t xml:space="preserve"> 'kqdzokj</t>
        </is>
      </c>
      <c r="JB13" s="140" t="inlineStr">
        <is>
          <t>okVk.kk</t>
        </is>
      </c>
      <c r="JC13" s="105">
        <f>JC12</f>
        <v/>
      </c>
      <c r="JD13" s="105">
        <f>JC13</f>
        <v/>
      </c>
      <c r="JE13" s="105">
        <f>L13</f>
        <v/>
      </c>
      <c r="JF13" s="105">
        <f>JE13*150</f>
        <v/>
      </c>
      <c r="JG13" s="105" t="n"/>
      <c r="JH13" s="105">
        <f>JE13*30</f>
        <v/>
      </c>
      <c r="JI13" s="105" t="n"/>
      <c r="JJ13" s="105">
        <f>JE13*0.25</f>
        <v/>
      </c>
      <c r="JK13" s="105">
        <f>JE13*0.4</f>
        <v/>
      </c>
      <c r="JL13" s="105">
        <f>JE13*2.5</f>
        <v/>
      </c>
      <c r="JM13" s="105">
        <f>JE13*7.5</f>
        <v/>
      </c>
      <c r="JN13" s="105">
        <f>JE13*4</f>
        <v/>
      </c>
      <c r="JO13" s="105">
        <f>JE13*3.11</f>
        <v/>
      </c>
      <c r="JP13" s="105" t="n"/>
      <c r="JQ13" s="105">
        <f>JE13*3.11</f>
        <v/>
      </c>
      <c r="JR13" s="105" t="n"/>
      <c r="JS13" s="103" t="n"/>
      <c r="JT13" s="59" t="n">
        <v>7</v>
      </c>
      <c r="JU13" s="30" t="inlineStr">
        <is>
          <t>gGn</t>
        </is>
      </c>
      <c r="JV13" s="38">
        <f>EF35</f>
        <v/>
      </c>
      <c r="JW13" s="38">
        <f>EP35</f>
        <v/>
      </c>
      <c r="JX13" s="38">
        <f>SUM(JV13:JW13)</f>
        <v/>
      </c>
      <c r="JY13" s="56" t="n"/>
      <c r="JZ13" s="103" t="n"/>
      <c r="KA13" s="59" t="n">
        <v>7</v>
      </c>
      <c r="KB13" s="30" t="inlineStr">
        <is>
          <t>gGn</t>
        </is>
      </c>
      <c r="KC13" s="38">
        <f>JV13</f>
        <v/>
      </c>
      <c r="KD13" s="38">
        <f>DZ36</f>
        <v/>
      </c>
      <c r="KE13" s="38">
        <f>ED36</f>
        <v/>
      </c>
      <c r="KF13" s="38" t="n"/>
      <c r="KG13" s="38">
        <f>JW13</f>
        <v/>
      </c>
      <c r="KH13" s="38">
        <f>EJ36</f>
        <v/>
      </c>
      <c r="KI13" s="38">
        <f>EN36</f>
        <v/>
      </c>
      <c r="KJ13" s="72" t="n"/>
    </row>
    <row r="14" ht="35.1" customHeight="1">
      <c r="A14" s="132" t="inlineStr">
        <is>
          <t xml:space="preserve"> 'kqdzokj</t>
        </is>
      </c>
      <c r="B14" s="114" t="inlineStr">
        <is>
          <t>10/04/2026</t>
        </is>
      </c>
      <c r="C14" s="108" t="n">
        <v>0</v>
      </c>
      <c r="D14" s="108">
        <f>C14</f>
        <v/>
      </c>
      <c r="E14" s="108" t="n">
        <v>0</v>
      </c>
      <c r="F14" s="108" t="n">
        <v>0</v>
      </c>
      <c r="G14" s="108" t="n">
        <v>0</v>
      </c>
      <c r="H14" s="108">
        <f>G14+F14+E14</f>
        <v/>
      </c>
      <c r="I14" s="132" t="inlineStr">
        <is>
          <t xml:space="preserve"> 'kqdzokj</t>
        </is>
      </c>
      <c r="J14" s="114" t="inlineStr">
        <is>
          <t>10/04/2026</t>
        </is>
      </c>
      <c r="K14" s="61">
        <f>D14</f>
        <v/>
      </c>
      <c r="L14" s="61">
        <f>H14</f>
        <v/>
      </c>
      <c r="M14" s="61">
        <f>SUM(K14:L14)</f>
        <v/>
      </c>
      <c r="N14" s="140" t="inlineStr">
        <is>
          <t>poGh</t>
        </is>
      </c>
      <c r="O14" s="89" t="n"/>
      <c r="Q14" s="3" t="n">
        <v>10</v>
      </c>
      <c r="R14" s="114" t="inlineStr">
        <is>
          <t>10/04/2026</t>
        </is>
      </c>
      <c r="S14" s="11">
        <f>Z13</f>
        <v/>
      </c>
      <c r="T14" s="10" t="n">
        <v>0</v>
      </c>
      <c r="U14" s="8">
        <f>S14+T14</f>
        <v/>
      </c>
      <c r="V14" s="61">
        <f>K14</f>
        <v/>
      </c>
      <c r="W14" s="8" t="n">
        <v>0.1</v>
      </c>
      <c r="X14" s="10">
        <f>V14*W14</f>
        <v/>
      </c>
      <c r="Y14" s="10">
        <f>U14-X14</f>
        <v/>
      </c>
      <c r="Z14" s="11">
        <f>Y14</f>
        <v/>
      </c>
      <c r="AA14" s="3" t="n">
        <v>10</v>
      </c>
      <c r="AB14" s="18">
        <f>R14</f>
        <v/>
      </c>
      <c r="AC14" s="8">
        <f>AJ13</f>
        <v/>
      </c>
      <c r="AD14" s="10" t="n">
        <v>0</v>
      </c>
      <c r="AE14" s="8">
        <f>AC14+AD14</f>
        <v/>
      </c>
      <c r="AF14" s="61">
        <f>L14</f>
        <v/>
      </c>
      <c r="AG14" s="8" t="n">
        <v>0.15</v>
      </c>
      <c r="AH14" s="12">
        <f>AG14*AF14</f>
        <v/>
      </c>
      <c r="AI14" s="10">
        <f>AE14-AH14</f>
        <v/>
      </c>
      <c r="AJ14" s="11">
        <f>AI14</f>
        <v/>
      </c>
      <c r="AK14" s="10">
        <f>Z14+AJ14</f>
        <v/>
      </c>
      <c r="AM14" s="3" t="n">
        <v>10</v>
      </c>
      <c r="AN14" s="18">
        <f>AB14</f>
        <v/>
      </c>
      <c r="AO14" s="8">
        <f>AV13</f>
        <v/>
      </c>
      <c r="AP14" s="10" t="n">
        <v>0</v>
      </c>
      <c r="AQ14" s="8">
        <f>AO14+AP14</f>
        <v/>
      </c>
      <c r="AR14" s="61" t="n">
        <v>0</v>
      </c>
      <c r="AS14" s="8" t="n">
        <v>0.02</v>
      </c>
      <c r="AT14" s="10">
        <f>AR14*AS14</f>
        <v/>
      </c>
      <c r="AU14" s="10">
        <f>AQ14-AT14</f>
        <v/>
      </c>
      <c r="AV14" s="11">
        <f>AU14</f>
        <v/>
      </c>
      <c r="AW14" s="3" t="n">
        <v>10</v>
      </c>
      <c r="AX14" s="18">
        <f>AN14</f>
        <v/>
      </c>
      <c r="AY14" s="8">
        <f>BF13</f>
        <v/>
      </c>
      <c r="AZ14" s="10" t="n">
        <v>0</v>
      </c>
      <c r="BA14" s="8">
        <f>AY14+AZ14</f>
        <v/>
      </c>
      <c r="BB14" s="61" t="n">
        <v>0</v>
      </c>
      <c r="BC14" s="8" t="n">
        <v>0.03</v>
      </c>
      <c r="BD14" s="12">
        <f>BC14*BB14</f>
        <v/>
      </c>
      <c r="BE14" s="10">
        <f>BA14-BD14</f>
        <v/>
      </c>
      <c r="BF14" s="11">
        <f>BE14</f>
        <v/>
      </c>
      <c r="BG14" s="10">
        <f>AV14+BF14</f>
        <v/>
      </c>
      <c r="BI14" s="3" t="n">
        <v>10</v>
      </c>
      <c r="BJ14" s="18">
        <f>AX14</f>
        <v/>
      </c>
      <c r="BK14" s="8">
        <f>BR13</f>
        <v/>
      </c>
      <c r="BL14" s="10" t="n">
        <v>0</v>
      </c>
      <c r="BM14" s="8">
        <f>BK14+BL14</f>
        <v/>
      </c>
      <c r="BN14" s="61" t="n">
        <v>0</v>
      </c>
      <c r="BO14" s="8" t="n">
        <v>0.02</v>
      </c>
      <c r="BP14" s="10">
        <f>BN14*BO14</f>
        <v/>
      </c>
      <c r="BQ14" s="10">
        <f>BM14-BP14</f>
        <v/>
      </c>
      <c r="BR14" s="11">
        <f>BQ14</f>
        <v/>
      </c>
      <c r="BS14" s="3" t="n">
        <v>10</v>
      </c>
      <c r="BT14" s="18">
        <f>BJ14</f>
        <v/>
      </c>
      <c r="BU14" s="8">
        <f>CB13</f>
        <v/>
      </c>
      <c r="BV14" s="10" t="n">
        <v>0</v>
      </c>
      <c r="BW14" s="8">
        <f>BU14+BV14</f>
        <v/>
      </c>
      <c r="BX14" s="61" t="n">
        <v>0</v>
      </c>
      <c r="BY14" s="8" t="n">
        <v>0.03</v>
      </c>
      <c r="BZ14" s="12">
        <f>BY14*BX14</f>
        <v/>
      </c>
      <c r="CA14" s="10">
        <f>BW14-BZ14</f>
        <v/>
      </c>
      <c r="CB14" s="11">
        <f>CA14</f>
        <v/>
      </c>
      <c r="CC14" s="10">
        <f>BR14+CB14</f>
        <v/>
      </c>
      <c r="CE14" s="3" t="n">
        <v>10</v>
      </c>
      <c r="CF14" s="18">
        <f>BT14</f>
        <v/>
      </c>
      <c r="CG14" s="8">
        <f>CN13</f>
        <v/>
      </c>
      <c r="CH14" s="10" t="n">
        <v>0</v>
      </c>
      <c r="CI14" s="8">
        <f>CG14+CH14</f>
        <v/>
      </c>
      <c r="CJ14" s="61">
        <f>K14</f>
        <v/>
      </c>
      <c r="CK14" s="8" t="n">
        <v>0.02</v>
      </c>
      <c r="CL14" s="10">
        <f>CJ14*CK14</f>
        <v/>
      </c>
      <c r="CM14" s="10">
        <f>CI14-CL14</f>
        <v/>
      </c>
      <c r="CN14" s="11">
        <f>CM14</f>
        <v/>
      </c>
      <c r="CO14" s="3" t="n">
        <v>10</v>
      </c>
      <c r="CP14" s="18">
        <f>CF14</f>
        <v/>
      </c>
      <c r="CQ14" s="8">
        <f>CX13</f>
        <v/>
      </c>
      <c r="CR14" s="10" t="n">
        <v>0</v>
      </c>
      <c r="CS14" s="8">
        <f>CQ14+CR14</f>
        <v/>
      </c>
      <c r="CT14" s="61">
        <f>L14</f>
        <v/>
      </c>
      <c r="CU14" s="8" t="n">
        <v>0.03</v>
      </c>
      <c r="CV14" s="12">
        <f>CU14*CT14</f>
        <v/>
      </c>
      <c r="CW14" s="10">
        <f>CS14-CV14</f>
        <v/>
      </c>
      <c r="CX14" s="11">
        <f>CW14</f>
        <v/>
      </c>
      <c r="CY14" s="10">
        <f>CN14+CX14</f>
        <v/>
      </c>
      <c r="DA14" s="3" t="n">
        <v>10</v>
      </c>
      <c r="DB14" s="18">
        <f>CP14</f>
        <v/>
      </c>
      <c r="DC14" s="8">
        <f>DJ13</f>
        <v/>
      </c>
      <c r="DD14" s="10" t="n">
        <v>0</v>
      </c>
      <c r="DE14" s="8">
        <f>DC14+DD14</f>
        <v/>
      </c>
      <c r="DF14" s="61">
        <f>K14</f>
        <v/>
      </c>
      <c r="DG14" s="106" t="n">
        <v>0.0001</v>
      </c>
      <c r="DH14" s="10">
        <f>DF14*DG14</f>
        <v/>
      </c>
      <c r="DI14" s="10">
        <f>DE14-DH14</f>
        <v/>
      </c>
      <c r="DJ14" s="11">
        <f>DI14</f>
        <v/>
      </c>
      <c r="DK14" s="3" t="n">
        <v>10</v>
      </c>
      <c r="DL14" s="18">
        <f>DB14</f>
        <v/>
      </c>
      <c r="DM14" s="8">
        <f>DT13</f>
        <v/>
      </c>
      <c r="DN14" s="10" t="n">
        <v>0</v>
      </c>
      <c r="DO14" s="8">
        <f>DM14+DN14</f>
        <v/>
      </c>
      <c r="DP14" s="61">
        <f>L14</f>
        <v/>
      </c>
      <c r="DQ14" s="106" t="n">
        <v>0.0003</v>
      </c>
      <c r="DR14" s="12">
        <f>DQ14*DP14</f>
        <v/>
      </c>
      <c r="DS14" s="10">
        <f>DO14-DR14</f>
        <v/>
      </c>
      <c r="DT14" s="11">
        <f>DS14</f>
        <v/>
      </c>
      <c r="DU14" s="10">
        <f>DJ14+DT14</f>
        <v/>
      </c>
      <c r="DW14" s="3" t="n">
        <v>10</v>
      </c>
      <c r="DX14" s="18">
        <f>DL14</f>
        <v/>
      </c>
      <c r="DY14" s="8">
        <f>EF13</f>
        <v/>
      </c>
      <c r="DZ14" s="10" t="n">
        <v>0</v>
      </c>
      <c r="EA14" s="8">
        <f>DY14+DZ14</f>
        <v/>
      </c>
      <c r="EB14" s="61">
        <f>K14</f>
        <v/>
      </c>
      <c r="EC14" s="106" t="n">
        <v>0.0002</v>
      </c>
      <c r="ED14" s="10">
        <f>EB14*EC14</f>
        <v/>
      </c>
      <c r="EE14" s="10">
        <f>EA14-ED14</f>
        <v/>
      </c>
      <c r="EF14" s="11">
        <f>EE14</f>
        <v/>
      </c>
      <c r="EG14" s="3" t="n">
        <v>10</v>
      </c>
      <c r="EH14" s="18">
        <f>DX14</f>
        <v/>
      </c>
      <c r="EI14" s="8">
        <f>EP13</f>
        <v/>
      </c>
      <c r="EJ14" s="10" t="n">
        <v>0</v>
      </c>
      <c r="EK14" s="8">
        <f>EI14+EJ14</f>
        <v/>
      </c>
      <c r="EL14" s="61">
        <f>L14</f>
        <v/>
      </c>
      <c r="EM14" s="106" t="n">
        <v>0.0005999999999999999</v>
      </c>
      <c r="EN14" s="12">
        <f>EM14*EL14</f>
        <v/>
      </c>
      <c r="EO14" s="10">
        <f>EK14-EN14</f>
        <v/>
      </c>
      <c r="EP14" s="11">
        <f>EO14</f>
        <v/>
      </c>
      <c r="EQ14" s="10">
        <f>EF14+EP14</f>
        <v/>
      </c>
      <c r="ES14" s="3" t="n">
        <v>10</v>
      </c>
      <c r="ET14" s="18">
        <f>EH14</f>
        <v/>
      </c>
      <c r="EU14" s="8">
        <f>FB13</f>
        <v/>
      </c>
      <c r="EV14" s="10" t="n">
        <v>0</v>
      </c>
      <c r="EW14" s="8">
        <f>EU14+EV14</f>
        <v/>
      </c>
      <c r="EX14" s="61">
        <f>K14</f>
        <v/>
      </c>
      <c r="EY14" s="107" t="n">
        <v>0.002</v>
      </c>
      <c r="EZ14" s="10">
        <f>EX14*EY14</f>
        <v/>
      </c>
      <c r="FA14" s="10">
        <f>EW14-EZ14</f>
        <v/>
      </c>
      <c r="FB14" s="11">
        <f>FA14</f>
        <v/>
      </c>
      <c r="FC14" s="3" t="n">
        <v>10</v>
      </c>
      <c r="FD14" s="18">
        <f>ET14</f>
        <v/>
      </c>
      <c r="FE14" s="8">
        <f>FL13</f>
        <v/>
      </c>
      <c r="FF14" s="10" t="n">
        <v>0</v>
      </c>
      <c r="FG14" s="8">
        <f>FE14+FF14</f>
        <v/>
      </c>
      <c r="FH14" s="61">
        <f>L14</f>
        <v/>
      </c>
      <c r="FI14" s="107" t="n">
        <v>0.0025</v>
      </c>
      <c r="FJ14" s="12">
        <f>FI14*FH14</f>
        <v/>
      </c>
      <c r="FK14" s="10">
        <f>FG14-FJ14</f>
        <v/>
      </c>
      <c r="FL14" s="11">
        <f>FK14</f>
        <v/>
      </c>
      <c r="FM14" s="10">
        <f>FB14+FL14</f>
        <v/>
      </c>
      <c r="FO14" s="3" t="n">
        <v>10</v>
      </c>
      <c r="FP14" s="18">
        <f>FD14</f>
        <v/>
      </c>
      <c r="FQ14" s="8">
        <f>FX13</f>
        <v/>
      </c>
      <c r="FR14" s="10" t="n">
        <v>0</v>
      </c>
      <c r="FS14" s="8">
        <f>FQ14+FR14</f>
        <v/>
      </c>
      <c r="FT14" s="61">
        <f>K14</f>
        <v/>
      </c>
      <c r="FU14" s="8" t="n">
        <v>0.002</v>
      </c>
      <c r="FV14" s="10">
        <f>FT14*FU14</f>
        <v/>
      </c>
      <c r="FW14" s="10">
        <f>FS14-FV14</f>
        <v/>
      </c>
      <c r="FX14" s="11">
        <f>FW14</f>
        <v/>
      </c>
      <c r="FY14" s="3" t="n">
        <v>10</v>
      </c>
      <c r="FZ14" s="18">
        <f>FP14</f>
        <v/>
      </c>
      <c r="GA14" s="8">
        <f>GH13</f>
        <v/>
      </c>
      <c r="GB14" s="10" t="n">
        <v>0</v>
      </c>
      <c r="GC14" s="8">
        <f>GA14+GB14</f>
        <v/>
      </c>
      <c r="GD14" s="61">
        <f>L14</f>
        <v/>
      </c>
      <c r="GE14" s="8" t="n">
        <v>0.005</v>
      </c>
      <c r="GF14" s="12">
        <f>GE14*GD14</f>
        <v/>
      </c>
      <c r="GG14" s="10">
        <f>GC14-GF14</f>
        <v/>
      </c>
      <c r="GH14" s="11">
        <f>GG14</f>
        <v/>
      </c>
      <c r="GI14" s="10">
        <f>FX14+GH14</f>
        <v/>
      </c>
      <c r="GK14" s="3" t="n">
        <v>10</v>
      </c>
      <c r="GL14" s="18">
        <f>FZ14</f>
        <v/>
      </c>
      <c r="GM14" s="8">
        <f>GT13</f>
        <v/>
      </c>
      <c r="GN14" s="10" t="n">
        <v>0</v>
      </c>
      <c r="GO14" s="8">
        <f>GM14+GN14</f>
        <v/>
      </c>
      <c r="GP14" s="61">
        <f>K14</f>
        <v/>
      </c>
      <c r="GQ14" s="8" t="n">
        <v>0.005</v>
      </c>
      <c r="GR14" s="10">
        <f>GP14*GQ14</f>
        <v/>
      </c>
      <c r="GS14" s="10">
        <f>GO14-GR14</f>
        <v/>
      </c>
      <c r="GT14" s="11">
        <f>GS14</f>
        <v/>
      </c>
      <c r="GU14" s="3" t="n">
        <v>10</v>
      </c>
      <c r="GV14" s="18">
        <f>GL14</f>
        <v/>
      </c>
      <c r="GW14" s="8">
        <f>HD13</f>
        <v/>
      </c>
      <c r="GX14" s="10" t="n">
        <v>0</v>
      </c>
      <c r="GY14" s="8">
        <f>GW14+GX14</f>
        <v/>
      </c>
      <c r="GZ14" s="61">
        <f>L14</f>
        <v/>
      </c>
      <c r="HA14" s="8" t="n">
        <v>0.0075</v>
      </c>
      <c r="HB14" s="12">
        <f>HA14*GZ14</f>
        <v/>
      </c>
      <c r="HC14" s="10">
        <f>GY14-HB14</f>
        <v/>
      </c>
      <c r="HD14" s="11">
        <f>HC14</f>
        <v/>
      </c>
      <c r="HE14" s="10">
        <f>GT14+HD14</f>
        <v/>
      </c>
      <c r="HG14" s="3" t="n">
        <v>10</v>
      </c>
      <c r="HH14" s="18">
        <f>GV14</f>
        <v/>
      </c>
      <c r="HI14" s="61">
        <f>K14</f>
        <v/>
      </c>
      <c r="HJ14" s="22" t="n">
        <v>1</v>
      </c>
      <c r="HK14" s="23">
        <f>HI14*HJ14</f>
        <v/>
      </c>
      <c r="HL14" s="61" t="n">
        <v>0.89</v>
      </c>
      <c r="HM14" s="23">
        <f>HI14*HL14</f>
        <v/>
      </c>
      <c r="HN14" s="22" t="n">
        <v>0.7</v>
      </c>
      <c r="HO14" s="22">
        <f>HN14*HI14</f>
        <v/>
      </c>
      <c r="HP14" s="22" t="n">
        <v>2.59</v>
      </c>
      <c r="HQ14" s="9">
        <f>HI14*HP14</f>
        <v/>
      </c>
      <c r="HR14" s="3" t="n">
        <v>10</v>
      </c>
      <c r="HS14" s="18" t="n">
        <v>45206</v>
      </c>
      <c r="HT14" s="61">
        <f>L14</f>
        <v/>
      </c>
      <c r="HU14" s="22" t="n">
        <v>1.64</v>
      </c>
      <c r="HV14" s="23">
        <f>HT14*HU14</f>
        <v/>
      </c>
      <c r="HW14" s="61" t="n">
        <v>1.14</v>
      </c>
      <c r="HX14" s="23">
        <f>HT14*HW14</f>
        <v/>
      </c>
      <c r="HY14" s="22" t="n">
        <v>1.1</v>
      </c>
      <c r="HZ14" s="22">
        <f>HY14*HT14</f>
        <v/>
      </c>
      <c r="IA14" s="22" t="n">
        <v>3.11</v>
      </c>
      <c r="IB14" s="9">
        <f>HT14*IA14</f>
        <v/>
      </c>
      <c r="IC14" s="9">
        <f>HK14+HV14</f>
        <v/>
      </c>
      <c r="ID14" s="9">
        <f>HM14+HX14</f>
        <v/>
      </c>
      <c r="IE14" s="9">
        <f>HO14+HZ14</f>
        <v/>
      </c>
      <c r="IF14" s="103" t="n"/>
      <c r="IG14" s="109">
        <f>HH14</f>
        <v/>
      </c>
      <c r="IH14" s="132" t="inlineStr">
        <is>
          <t xml:space="preserve"> 'kfuokj</t>
        </is>
      </c>
      <c r="II14" s="140" t="inlineStr">
        <is>
          <t>gjcjk</t>
        </is>
      </c>
      <c r="IJ14" s="105">
        <f>IJ13</f>
        <v/>
      </c>
      <c r="IK14" s="105">
        <f>IJ14</f>
        <v/>
      </c>
      <c r="IL14" s="105">
        <f>K14</f>
        <v/>
      </c>
      <c r="IM14" s="105">
        <f>IL14*100</f>
        <v/>
      </c>
      <c r="IN14" s="105" t="n"/>
      <c r="IO14" s="105" t="n"/>
      <c r="IP14" s="105">
        <f>IL14*20</f>
        <v/>
      </c>
      <c r="IQ14" s="105">
        <f>IL14*0.3</f>
        <v/>
      </c>
      <c r="IR14" s="105">
        <f>IL14*0.4</f>
        <v/>
      </c>
      <c r="IS14" s="105">
        <f>IL14*1.5</f>
        <v/>
      </c>
      <c r="IT14" s="105">
        <f>IL14*5</f>
        <v/>
      </c>
      <c r="IU14" s="105">
        <f>IL14*2</f>
        <v/>
      </c>
      <c r="IV14" s="105">
        <f>IL14*2.08</f>
        <v/>
      </c>
      <c r="IW14" s="105" t="n"/>
      <c r="IX14" s="105">
        <f>IL14*2.08</f>
        <v/>
      </c>
      <c r="IY14" s="105" t="n"/>
      <c r="IZ14" s="109">
        <f>IG14</f>
        <v/>
      </c>
      <c r="JA14" s="132" t="inlineStr">
        <is>
          <t xml:space="preserve"> 'kfuokj</t>
        </is>
      </c>
      <c r="JB14" s="140" t="inlineStr">
        <is>
          <t>gjcjk</t>
        </is>
      </c>
      <c r="JC14" s="105">
        <f>JC13</f>
        <v/>
      </c>
      <c r="JD14" s="105">
        <f>JC14</f>
        <v/>
      </c>
      <c r="JE14" s="105">
        <f>L14</f>
        <v/>
      </c>
      <c r="JF14" s="105">
        <f>JE14*150</f>
        <v/>
      </c>
      <c r="JG14" s="105" t="n"/>
      <c r="JH14" s="105" t="n"/>
      <c r="JI14" s="105">
        <f>JE14*30</f>
        <v/>
      </c>
      <c r="JJ14" s="105">
        <f>JE14*0.25</f>
        <v/>
      </c>
      <c r="JK14" s="105">
        <f>JE14*0.4</f>
        <v/>
      </c>
      <c r="JL14" s="105">
        <f>JE14*2.5</f>
        <v/>
      </c>
      <c r="JM14" s="105">
        <f>JE14*7.5</f>
        <v/>
      </c>
      <c r="JN14" s="105">
        <f>JE14*4</f>
        <v/>
      </c>
      <c r="JO14" s="105">
        <f>JE14*3.11</f>
        <v/>
      </c>
      <c r="JP14" s="105" t="n"/>
      <c r="JQ14" s="105">
        <f>JE14*3.11</f>
        <v/>
      </c>
      <c r="JR14" s="105" t="n"/>
      <c r="JS14" s="103" t="n"/>
      <c r="JT14" s="59" t="n">
        <v>8</v>
      </c>
      <c r="JU14" s="62" t="inlineStr">
        <is>
          <t>dkank ylw.k elkyk</t>
        </is>
      </c>
      <c r="JV14" s="38">
        <f>FB35</f>
        <v/>
      </c>
      <c r="JW14" s="38">
        <f>FL35</f>
        <v/>
      </c>
      <c r="JX14" s="38">
        <f>SUM(JV14:JW14)</f>
        <v/>
      </c>
      <c r="JY14" s="56" t="n"/>
      <c r="JZ14" s="103" t="n"/>
      <c r="KA14" s="59" t="n">
        <v>8</v>
      </c>
      <c r="KB14" s="62" t="inlineStr">
        <is>
          <t>dkank ylw.k elkyk</t>
        </is>
      </c>
      <c r="KC14" s="38">
        <f>JV14</f>
        <v/>
      </c>
      <c r="KD14" s="38">
        <f>EV36</f>
        <v/>
      </c>
      <c r="KE14" s="38">
        <f>EZ36</f>
        <v/>
      </c>
      <c r="KF14" s="38" t="n"/>
      <c r="KG14" s="38">
        <f>JW14</f>
        <v/>
      </c>
      <c r="KH14" s="38">
        <f>FF36</f>
        <v/>
      </c>
      <c r="KI14" s="38">
        <f>FJ36</f>
        <v/>
      </c>
      <c r="KJ14" s="72" t="n"/>
    </row>
    <row r="15" ht="35.1" customHeight="1">
      <c r="A15" s="132" t="inlineStr">
        <is>
          <t xml:space="preserve"> 'kfuokj</t>
        </is>
      </c>
      <c r="B15" s="114" t="inlineStr">
        <is>
          <t>11/04/2026</t>
        </is>
      </c>
      <c r="C15" s="108" t="n">
        <v>0</v>
      </c>
      <c r="D15" s="108">
        <f>C15</f>
        <v/>
      </c>
      <c r="E15" s="108" t="n">
        <v>0</v>
      </c>
      <c r="F15" s="108" t="n">
        <v>0</v>
      </c>
      <c r="G15" s="108" t="n">
        <v>0</v>
      </c>
      <c r="H15" s="108">
        <f>G15+F15+E15</f>
        <v/>
      </c>
      <c r="I15" s="132" t="inlineStr">
        <is>
          <t xml:space="preserve"> 'kfuokj</t>
        </is>
      </c>
      <c r="J15" s="114" t="inlineStr">
        <is>
          <t>11/04/2026</t>
        </is>
      </c>
      <c r="K15" s="61">
        <f>D15</f>
        <v/>
      </c>
      <c r="L15" s="61">
        <f>H15</f>
        <v/>
      </c>
      <c r="M15" s="61">
        <f>SUM(K15:L15)</f>
        <v/>
      </c>
      <c r="N15" s="140" t="inlineStr">
        <is>
          <t>gjcjk</t>
        </is>
      </c>
      <c r="O15" s="89" t="n"/>
      <c r="Q15" s="3" t="n">
        <v>11</v>
      </c>
      <c r="R15" s="114" t="inlineStr">
        <is>
          <t>11/04/2026</t>
        </is>
      </c>
      <c r="S15" s="11">
        <f>Z14</f>
        <v/>
      </c>
      <c r="T15" s="10" t="n">
        <v>0</v>
      </c>
      <c r="U15" s="8">
        <f>S15+T15</f>
        <v/>
      </c>
      <c r="V15" s="61">
        <f>K15</f>
        <v/>
      </c>
      <c r="W15" s="8" t="n">
        <v>0.1</v>
      </c>
      <c r="X15" s="10">
        <f>V15*W15</f>
        <v/>
      </c>
      <c r="Y15" s="10">
        <f>U15-X15</f>
        <v/>
      </c>
      <c r="Z15" s="11">
        <f>Y15</f>
        <v/>
      </c>
      <c r="AA15" s="3" t="n">
        <v>11</v>
      </c>
      <c r="AB15" s="18">
        <f>R15</f>
        <v/>
      </c>
      <c r="AC15" s="8">
        <f>AJ14</f>
        <v/>
      </c>
      <c r="AD15" s="10" t="n">
        <v>0</v>
      </c>
      <c r="AE15" s="8">
        <f>AC15+AD15</f>
        <v/>
      </c>
      <c r="AF15" s="61">
        <f>L15</f>
        <v/>
      </c>
      <c r="AG15" s="8" t="n">
        <v>0.15</v>
      </c>
      <c r="AH15" s="12">
        <f>AG15*AF15</f>
        <v/>
      </c>
      <c r="AI15" s="10">
        <f>AE15-AH15</f>
        <v/>
      </c>
      <c r="AJ15" s="11">
        <f>AI15</f>
        <v/>
      </c>
      <c r="AK15" s="10">
        <f>Z15+AJ15</f>
        <v/>
      </c>
      <c r="AM15" s="3" t="n">
        <v>11</v>
      </c>
      <c r="AN15" s="18">
        <f>AB15</f>
        <v/>
      </c>
      <c r="AO15" s="8">
        <f>AV14</f>
        <v/>
      </c>
      <c r="AP15" s="10" t="n">
        <v>0</v>
      </c>
      <c r="AQ15" s="8">
        <f>AO15+AP15</f>
        <v/>
      </c>
      <c r="AR15" s="61">
        <f>K15</f>
        <v/>
      </c>
      <c r="AS15" s="8" t="n">
        <v>0.02</v>
      </c>
      <c r="AT15" s="10">
        <f>AR15*AS15</f>
        <v/>
      </c>
      <c r="AU15" s="10">
        <f>AQ15-AT15</f>
        <v/>
      </c>
      <c r="AV15" s="11">
        <f>AU15</f>
        <v/>
      </c>
      <c r="AW15" s="3" t="n">
        <v>11</v>
      </c>
      <c r="AX15" s="18">
        <f>AN15</f>
        <v/>
      </c>
      <c r="AY15" s="8">
        <f>BF14</f>
        <v/>
      </c>
      <c r="AZ15" s="10" t="n">
        <v>0</v>
      </c>
      <c r="BA15" s="8">
        <f>AY15+AZ15</f>
        <v/>
      </c>
      <c r="BB15" s="61">
        <f>L15</f>
        <v/>
      </c>
      <c r="BC15" s="8" t="n">
        <v>0.03</v>
      </c>
      <c r="BD15" s="12">
        <f>BC15*BB15</f>
        <v/>
      </c>
      <c r="BE15" s="10">
        <f>BA15-BD15</f>
        <v/>
      </c>
      <c r="BF15" s="11">
        <f>BE15</f>
        <v/>
      </c>
      <c r="BG15" s="10">
        <f>AV15+BF15</f>
        <v/>
      </c>
      <c r="BI15" s="3" t="n">
        <v>11</v>
      </c>
      <c r="BJ15" s="18">
        <f>AX15</f>
        <v/>
      </c>
      <c r="BK15" s="8">
        <f>BR14</f>
        <v/>
      </c>
      <c r="BL15" s="10" t="n">
        <v>0</v>
      </c>
      <c r="BM15" s="8">
        <f>BK15+BL15</f>
        <v/>
      </c>
      <c r="BN15" s="61" t="n">
        <v>0</v>
      </c>
      <c r="BO15" s="8" t="n">
        <v>0.02</v>
      </c>
      <c r="BP15" s="10">
        <f>BN15*BO15</f>
        <v/>
      </c>
      <c r="BQ15" s="10">
        <f>BM15-BP15</f>
        <v/>
      </c>
      <c r="BR15" s="11">
        <f>BQ15</f>
        <v/>
      </c>
      <c r="BS15" s="3" t="n">
        <v>11</v>
      </c>
      <c r="BT15" s="18">
        <f>BJ15</f>
        <v/>
      </c>
      <c r="BU15" s="8">
        <f>CB14</f>
        <v/>
      </c>
      <c r="BV15" s="10" t="n">
        <v>0</v>
      </c>
      <c r="BW15" s="8">
        <f>BU15+BV15</f>
        <v/>
      </c>
      <c r="BX15" s="61" t="n">
        <v>0</v>
      </c>
      <c r="BY15" s="8" t="n">
        <v>0.03</v>
      </c>
      <c r="BZ15" s="12">
        <f>BY15*BX15</f>
        <v/>
      </c>
      <c r="CA15" s="10">
        <f>BW15-BZ15</f>
        <v/>
      </c>
      <c r="CB15" s="11">
        <f>CA15</f>
        <v/>
      </c>
      <c r="CC15" s="10">
        <f>BR15+CB15</f>
        <v/>
      </c>
      <c r="CE15" s="3" t="n">
        <v>11</v>
      </c>
      <c r="CF15" s="18">
        <f>BT15</f>
        <v/>
      </c>
      <c r="CG15" s="8">
        <f>CN14</f>
        <v/>
      </c>
      <c r="CH15" s="10" t="n">
        <v>0</v>
      </c>
      <c r="CI15" s="8">
        <f>CG15+CH15</f>
        <v/>
      </c>
      <c r="CJ15" s="61" t="n">
        <v>0</v>
      </c>
      <c r="CK15" s="8" t="n">
        <v>0.02</v>
      </c>
      <c r="CL15" s="10">
        <f>CJ15*CK15</f>
        <v/>
      </c>
      <c r="CM15" s="10">
        <f>CI15-CL15</f>
        <v/>
      </c>
      <c r="CN15" s="11">
        <f>CM15</f>
        <v/>
      </c>
      <c r="CO15" s="3" t="n">
        <v>11</v>
      </c>
      <c r="CP15" s="18">
        <f>CF15</f>
        <v/>
      </c>
      <c r="CQ15" s="8">
        <f>CX14</f>
        <v/>
      </c>
      <c r="CR15" s="10" t="n">
        <v>0</v>
      </c>
      <c r="CS15" s="8">
        <f>CQ15+CR15</f>
        <v/>
      </c>
      <c r="CT15" s="61" t="n">
        <v>0</v>
      </c>
      <c r="CU15" s="8" t="n">
        <v>0.03</v>
      </c>
      <c r="CV15" s="12">
        <f>CU15*CT15</f>
        <v/>
      </c>
      <c r="CW15" s="10">
        <f>CS15-CV15</f>
        <v/>
      </c>
      <c r="CX15" s="11">
        <f>CW15</f>
        <v/>
      </c>
      <c r="CY15" s="10">
        <f>CN15+CX15</f>
        <v/>
      </c>
      <c r="DA15" s="3" t="n">
        <v>11</v>
      </c>
      <c r="DB15" s="18">
        <f>CP15</f>
        <v/>
      </c>
      <c r="DC15" s="8">
        <f>DJ14</f>
        <v/>
      </c>
      <c r="DD15" s="10" t="n">
        <v>0</v>
      </c>
      <c r="DE15" s="8">
        <f>DC15+DD15</f>
        <v/>
      </c>
      <c r="DF15" s="61">
        <f>K15</f>
        <v/>
      </c>
      <c r="DG15" s="106" t="n">
        <v>0.0001</v>
      </c>
      <c r="DH15" s="10">
        <f>DF15*DG15</f>
        <v/>
      </c>
      <c r="DI15" s="10">
        <f>DE15-DH15</f>
        <v/>
      </c>
      <c r="DJ15" s="11">
        <f>DI15</f>
        <v/>
      </c>
      <c r="DK15" s="3" t="n">
        <v>11</v>
      </c>
      <c r="DL15" s="18">
        <f>DB15</f>
        <v/>
      </c>
      <c r="DM15" s="8">
        <f>DT14</f>
        <v/>
      </c>
      <c r="DN15" s="10" t="n">
        <v>0</v>
      </c>
      <c r="DO15" s="8">
        <f>DM15+DN15</f>
        <v/>
      </c>
      <c r="DP15" s="61">
        <f>L15</f>
        <v/>
      </c>
      <c r="DQ15" s="106" t="n">
        <v>0.0003</v>
      </c>
      <c r="DR15" s="12">
        <f>DQ15*DP15</f>
        <v/>
      </c>
      <c r="DS15" s="10">
        <f>DO15-DR15</f>
        <v/>
      </c>
      <c r="DT15" s="11">
        <f>DS15</f>
        <v/>
      </c>
      <c r="DU15" s="10">
        <f>DJ15+DT15</f>
        <v/>
      </c>
      <c r="DW15" s="3" t="n">
        <v>11</v>
      </c>
      <c r="DX15" s="18">
        <f>DL15</f>
        <v/>
      </c>
      <c r="DY15" s="8">
        <f>EF14</f>
        <v/>
      </c>
      <c r="DZ15" s="10" t="n">
        <v>0</v>
      </c>
      <c r="EA15" s="8">
        <f>DY15+DZ15</f>
        <v/>
      </c>
      <c r="EB15" s="61">
        <f>K15</f>
        <v/>
      </c>
      <c r="EC15" s="106" t="n">
        <v>0.0002</v>
      </c>
      <c r="ED15" s="10">
        <f>EB15*EC15</f>
        <v/>
      </c>
      <c r="EE15" s="10">
        <f>EA15-ED15</f>
        <v/>
      </c>
      <c r="EF15" s="11">
        <f>EE15</f>
        <v/>
      </c>
      <c r="EG15" s="3" t="n">
        <v>11</v>
      </c>
      <c r="EH15" s="18">
        <f>DX15</f>
        <v/>
      </c>
      <c r="EI15" s="8">
        <f>EP14</f>
        <v/>
      </c>
      <c r="EJ15" s="10" t="n">
        <v>0</v>
      </c>
      <c r="EK15" s="8">
        <f>EI15+EJ15</f>
        <v/>
      </c>
      <c r="EL15" s="61">
        <f>L15</f>
        <v/>
      </c>
      <c r="EM15" s="106" t="n">
        <v>0.0005999999999999999</v>
      </c>
      <c r="EN15" s="12">
        <f>EM15*EL15</f>
        <v/>
      </c>
      <c r="EO15" s="10">
        <f>EK15-EN15</f>
        <v/>
      </c>
      <c r="EP15" s="11">
        <f>EO15</f>
        <v/>
      </c>
      <c r="EQ15" s="10">
        <f>EF15+EP15</f>
        <v/>
      </c>
      <c r="ES15" s="3" t="n">
        <v>11</v>
      </c>
      <c r="ET15" s="18">
        <f>EH15</f>
        <v/>
      </c>
      <c r="EU15" s="8">
        <f>FB14</f>
        <v/>
      </c>
      <c r="EV15" s="10" t="n">
        <v>0</v>
      </c>
      <c r="EW15" s="8">
        <f>EU15+EV15</f>
        <v/>
      </c>
      <c r="EX15" s="61">
        <f>K15</f>
        <v/>
      </c>
      <c r="EY15" s="107" t="n">
        <v>0.002</v>
      </c>
      <c r="EZ15" s="10">
        <f>EX15*EY15</f>
        <v/>
      </c>
      <c r="FA15" s="10">
        <f>EW15-EZ15</f>
        <v/>
      </c>
      <c r="FB15" s="11">
        <f>FA15</f>
        <v/>
      </c>
      <c r="FC15" s="3" t="n">
        <v>11</v>
      </c>
      <c r="FD15" s="18">
        <f>ET15</f>
        <v/>
      </c>
      <c r="FE15" s="8">
        <f>FL14</f>
        <v/>
      </c>
      <c r="FF15" s="10" t="n">
        <v>0</v>
      </c>
      <c r="FG15" s="8">
        <f>FE15+FF15</f>
        <v/>
      </c>
      <c r="FH15" s="61">
        <f>L15</f>
        <v/>
      </c>
      <c r="FI15" s="107" t="n">
        <v>0.0025</v>
      </c>
      <c r="FJ15" s="12">
        <f>FI15*FH15</f>
        <v/>
      </c>
      <c r="FK15" s="10">
        <f>FG15-FJ15</f>
        <v/>
      </c>
      <c r="FL15" s="11">
        <f>FK15</f>
        <v/>
      </c>
      <c r="FM15" s="10">
        <f>FB15+FL15</f>
        <v/>
      </c>
      <c r="FO15" s="3" t="n">
        <v>11</v>
      </c>
      <c r="FP15" s="18">
        <f>FD15</f>
        <v/>
      </c>
      <c r="FQ15" s="8">
        <f>FX14</f>
        <v/>
      </c>
      <c r="FR15" s="10" t="n">
        <v>0</v>
      </c>
      <c r="FS15" s="8">
        <f>FQ15+FR15</f>
        <v/>
      </c>
      <c r="FT15" s="61">
        <f>K15</f>
        <v/>
      </c>
      <c r="FU15" s="8" t="n">
        <v>0.002</v>
      </c>
      <c r="FV15" s="10">
        <f>FT15*FU15</f>
        <v/>
      </c>
      <c r="FW15" s="10">
        <f>FS15-FV15</f>
        <v/>
      </c>
      <c r="FX15" s="11">
        <f>FW15</f>
        <v/>
      </c>
      <c r="FY15" s="3" t="n">
        <v>11</v>
      </c>
      <c r="FZ15" s="18">
        <f>FP15</f>
        <v/>
      </c>
      <c r="GA15" s="8">
        <f>GH14</f>
        <v/>
      </c>
      <c r="GB15" s="10" t="n">
        <v>0</v>
      </c>
      <c r="GC15" s="8">
        <f>GA15+GB15</f>
        <v/>
      </c>
      <c r="GD15" s="61">
        <f>L15</f>
        <v/>
      </c>
      <c r="GE15" s="8" t="n">
        <v>0.005</v>
      </c>
      <c r="GF15" s="12">
        <f>GE15*GD15</f>
        <v/>
      </c>
      <c r="GG15" s="10">
        <f>GC15-GF15</f>
        <v/>
      </c>
      <c r="GH15" s="11">
        <f>GG15</f>
        <v/>
      </c>
      <c r="GI15" s="10">
        <f>FX15+GH15</f>
        <v/>
      </c>
      <c r="GK15" s="3" t="n">
        <v>11</v>
      </c>
      <c r="GL15" s="18">
        <f>FZ15</f>
        <v/>
      </c>
      <c r="GM15" s="8">
        <f>GT14</f>
        <v/>
      </c>
      <c r="GN15" s="10" t="n">
        <v>0</v>
      </c>
      <c r="GO15" s="8">
        <f>GM15+GN15</f>
        <v/>
      </c>
      <c r="GP15" s="61">
        <f>K15</f>
        <v/>
      </c>
      <c r="GQ15" s="8" t="n">
        <v>0.005</v>
      </c>
      <c r="GR15" s="10">
        <f>GP15*GQ15</f>
        <v/>
      </c>
      <c r="GS15" s="10">
        <f>GO15-GR15</f>
        <v/>
      </c>
      <c r="GT15" s="11">
        <f>GS15</f>
        <v/>
      </c>
      <c r="GU15" s="3" t="n">
        <v>11</v>
      </c>
      <c r="GV15" s="18">
        <f>GL15</f>
        <v/>
      </c>
      <c r="GW15" s="8">
        <f>HD14</f>
        <v/>
      </c>
      <c r="GX15" s="10" t="n">
        <v>0</v>
      </c>
      <c r="GY15" s="8">
        <f>GW15+GX15</f>
        <v/>
      </c>
      <c r="GZ15" s="61">
        <f>L15</f>
        <v/>
      </c>
      <c r="HA15" s="8" t="n">
        <v>0.0075</v>
      </c>
      <c r="HB15" s="12">
        <f>HA15*GZ15</f>
        <v/>
      </c>
      <c r="HC15" s="10">
        <f>GY15-HB15</f>
        <v/>
      </c>
      <c r="HD15" s="11">
        <f>HC15</f>
        <v/>
      </c>
      <c r="HE15" s="10">
        <f>GT15+HD15</f>
        <v/>
      </c>
      <c r="HG15" s="3" t="n">
        <v>11</v>
      </c>
      <c r="HH15" s="18">
        <f>GV15</f>
        <v/>
      </c>
      <c r="HI15" s="61">
        <f>K15</f>
        <v/>
      </c>
      <c r="HJ15" s="22" t="n">
        <v>1</v>
      </c>
      <c r="HK15" s="23">
        <f>HI15*HJ15</f>
        <v/>
      </c>
      <c r="HL15" s="61" t="n">
        <v>0.89</v>
      </c>
      <c r="HM15" s="23">
        <f>HI15*HL15</f>
        <v/>
      </c>
      <c r="HN15" s="22" t="n">
        <v>0.7</v>
      </c>
      <c r="HO15" s="22">
        <f>HN15*HI15</f>
        <v/>
      </c>
      <c r="HP15" s="22" t="n">
        <v>2.59</v>
      </c>
      <c r="HQ15" s="9">
        <f>HI15*HP15</f>
        <v/>
      </c>
      <c r="HR15" s="3" t="n">
        <v>11</v>
      </c>
      <c r="HS15" s="18" t="n">
        <v>45237</v>
      </c>
      <c r="HT15" s="61">
        <f>L15</f>
        <v/>
      </c>
      <c r="HU15" s="22" t="n">
        <v>1.64</v>
      </c>
      <c r="HV15" s="23">
        <f>HT15*HU15</f>
        <v/>
      </c>
      <c r="HW15" s="61" t="n">
        <v>1.14</v>
      </c>
      <c r="HX15" s="23">
        <f>HT15*HW15</f>
        <v/>
      </c>
      <c r="HY15" s="22" t="n">
        <v>1.1</v>
      </c>
      <c r="HZ15" s="22">
        <f>HY15*HT15</f>
        <v/>
      </c>
      <c r="IA15" s="22" t="n">
        <v>3.11</v>
      </c>
      <c r="IB15" s="9">
        <f>HT15*IA15</f>
        <v/>
      </c>
      <c r="IC15" s="9">
        <f>HK15+HV15</f>
        <v/>
      </c>
      <c r="ID15" s="9">
        <f>HM15+HX15</f>
        <v/>
      </c>
      <c r="IE15" s="9">
        <f>HO15+HZ15</f>
        <v/>
      </c>
      <c r="IF15" s="103" t="n"/>
      <c r="IG15" s="109">
        <f>HH15</f>
        <v/>
      </c>
      <c r="IH15" s="132" t="inlineStr">
        <is>
          <t>jfookj</t>
        </is>
      </c>
      <c r="II15" s="140" t="n"/>
      <c r="IJ15" s="105">
        <f>IJ14</f>
        <v/>
      </c>
      <c r="IK15" s="105">
        <f>IJ15</f>
        <v/>
      </c>
      <c r="IL15" s="105">
        <f>K15</f>
        <v/>
      </c>
      <c r="IM15" s="105">
        <f>IL15*100</f>
        <v/>
      </c>
      <c r="IN15" s="105">
        <f>IL15*20</f>
        <v/>
      </c>
      <c r="IO15" s="105" t="n"/>
      <c r="IP15" s="105" t="n"/>
      <c r="IQ15" s="105">
        <f>IL15*0.3</f>
        <v/>
      </c>
      <c r="IR15" s="105">
        <f>IL15*0.4</f>
        <v/>
      </c>
      <c r="IS15" s="105">
        <f>IL15*1.5</f>
        <v/>
      </c>
      <c r="IT15" s="105">
        <f>IL15*5</f>
        <v/>
      </c>
      <c r="IU15" s="105">
        <f>IL15*2</f>
        <v/>
      </c>
      <c r="IV15" s="105">
        <f>IL15*2.08</f>
        <v/>
      </c>
      <c r="IW15" s="105" t="n"/>
      <c r="IX15" s="105">
        <f>IL15*2.08</f>
        <v/>
      </c>
      <c r="IY15" s="105" t="n"/>
      <c r="IZ15" s="109">
        <f>IG15</f>
        <v/>
      </c>
      <c r="JA15" s="132" t="inlineStr">
        <is>
          <t>jfookj</t>
        </is>
      </c>
      <c r="JB15" s="140" t="n"/>
      <c r="JC15" s="105">
        <f>JC14</f>
        <v/>
      </c>
      <c r="JD15" s="105">
        <f>JC15</f>
        <v/>
      </c>
      <c r="JE15" s="105">
        <f>L15</f>
        <v/>
      </c>
      <c r="JF15" s="105">
        <f>JE15*150</f>
        <v/>
      </c>
      <c r="JG15" s="105">
        <f>JE15*30</f>
        <v/>
      </c>
      <c r="JH15" s="105" t="n"/>
      <c r="JI15" s="105" t="n"/>
      <c r="JJ15" s="105">
        <f>JE15*0.25</f>
        <v/>
      </c>
      <c r="JK15" s="105">
        <f>JE15*0.4</f>
        <v/>
      </c>
      <c r="JL15" s="105">
        <f>JE15*2.5</f>
        <v/>
      </c>
      <c r="JM15" s="105">
        <f>JE15*7.5</f>
        <v/>
      </c>
      <c r="JN15" s="105">
        <f>JE15*4</f>
        <v/>
      </c>
      <c r="JO15" s="105">
        <f>JE15*3.11</f>
        <v/>
      </c>
      <c r="JP15" s="105" t="n"/>
      <c r="JQ15" s="105">
        <f>JE15*3.11</f>
        <v/>
      </c>
      <c r="JR15" s="105" t="n"/>
      <c r="JS15" s="103" t="n"/>
      <c r="JT15" s="59" t="n">
        <v>9</v>
      </c>
      <c r="JU15" s="30" t="inlineStr">
        <is>
          <t>ehB</t>
        </is>
      </c>
      <c r="JV15" s="38">
        <f>FX35</f>
        <v/>
      </c>
      <c r="JW15" s="38">
        <f>GH35</f>
        <v/>
      </c>
      <c r="JX15" s="38">
        <f>SUM(JV15:JW15)</f>
        <v/>
      </c>
      <c r="JY15" s="56" t="n"/>
      <c r="JZ15" s="103" t="n">
        <v>1</v>
      </c>
      <c r="KA15" s="59" t="n">
        <v>9</v>
      </c>
      <c r="KB15" s="30" t="inlineStr">
        <is>
          <t>ehB</t>
        </is>
      </c>
      <c r="KC15" s="38">
        <f>JV15</f>
        <v/>
      </c>
      <c r="KD15" s="38">
        <f>FR36</f>
        <v/>
      </c>
      <c r="KE15" s="38">
        <f>FV36</f>
        <v/>
      </c>
      <c r="KF15" s="38" t="n"/>
      <c r="KG15" s="38">
        <f>JW15</f>
        <v/>
      </c>
      <c r="KH15" s="38">
        <f>GB36</f>
        <v/>
      </c>
      <c r="KI15" s="38">
        <f>GF36</f>
        <v/>
      </c>
      <c r="KJ15" s="72" t="n"/>
    </row>
    <row r="16" ht="35.1" customHeight="1">
      <c r="A16" s="132" t="inlineStr">
        <is>
          <t>jfookj</t>
        </is>
      </c>
      <c r="B16" s="114" t="inlineStr">
        <is>
          <t>12/04/2026</t>
        </is>
      </c>
      <c r="C16" s="108" t="n">
        <v>0</v>
      </c>
      <c r="D16" s="108">
        <f>C16</f>
        <v/>
      </c>
      <c r="E16" s="108" t="n">
        <v>0</v>
      </c>
      <c r="F16" s="108" t="n">
        <v>0</v>
      </c>
      <c r="G16" s="108" t="n">
        <v>0</v>
      </c>
      <c r="H16" s="108">
        <f>G16+F16+E16</f>
        <v/>
      </c>
      <c r="I16" s="132" t="inlineStr">
        <is>
          <t>jfookj</t>
        </is>
      </c>
      <c r="J16" s="114" t="inlineStr">
        <is>
          <t>12/04/2026</t>
        </is>
      </c>
      <c r="K16" s="61">
        <f>D16</f>
        <v/>
      </c>
      <c r="L16" s="61">
        <f>H16</f>
        <v/>
      </c>
      <c r="M16" s="61">
        <f>SUM(K16:L16)</f>
        <v/>
      </c>
      <c r="N16" s="140" t="n"/>
      <c r="O16" s="89" t="n"/>
      <c r="Q16" s="3" t="n">
        <v>12</v>
      </c>
      <c r="R16" s="114" t="inlineStr">
        <is>
          <t>12/04/2026</t>
        </is>
      </c>
      <c r="S16" s="11">
        <f>Z15</f>
        <v/>
      </c>
      <c r="T16" s="10" t="n">
        <v>0</v>
      </c>
      <c r="U16" s="8">
        <f>S16+T16</f>
        <v/>
      </c>
      <c r="V16" s="61">
        <f>K16</f>
        <v/>
      </c>
      <c r="W16" s="8" t="n">
        <v>0.1</v>
      </c>
      <c r="X16" s="10">
        <f>V16*W16</f>
        <v/>
      </c>
      <c r="Y16" s="10">
        <f>U16-X16</f>
        <v/>
      </c>
      <c r="Z16" s="11">
        <f>Y16</f>
        <v/>
      </c>
      <c r="AA16" s="3" t="n">
        <v>12</v>
      </c>
      <c r="AB16" s="18">
        <f>R16</f>
        <v/>
      </c>
      <c r="AC16" s="8">
        <f>AJ15</f>
        <v/>
      </c>
      <c r="AD16" s="10" t="n">
        <v>0</v>
      </c>
      <c r="AE16" s="8">
        <f>AC16+AD16</f>
        <v/>
      </c>
      <c r="AF16" s="61">
        <f>L16</f>
        <v/>
      </c>
      <c r="AG16" s="8" t="n">
        <v>0.15</v>
      </c>
      <c r="AH16" s="12">
        <f>AG16*AF16</f>
        <v/>
      </c>
      <c r="AI16" s="10">
        <f>AE16-AH16</f>
        <v/>
      </c>
      <c r="AJ16" s="11">
        <f>AI16</f>
        <v/>
      </c>
      <c r="AK16" s="10">
        <f>Z16+AJ16</f>
        <v/>
      </c>
      <c r="AM16" s="3" t="n">
        <v>12</v>
      </c>
      <c r="AN16" s="18">
        <f>AB16</f>
        <v/>
      </c>
      <c r="AO16" s="8">
        <f>AV15</f>
        <v/>
      </c>
      <c r="AP16" s="10" t="n">
        <v>0</v>
      </c>
      <c r="AQ16" s="8">
        <f>AO16+AP16</f>
        <v/>
      </c>
      <c r="AR16" s="61" t="n">
        <v>0</v>
      </c>
      <c r="AS16" s="8" t="n">
        <v>0.02</v>
      </c>
      <c r="AT16" s="10">
        <f>AR16*AS16</f>
        <v/>
      </c>
      <c r="AU16" s="10">
        <f>AQ16-AT16</f>
        <v/>
      </c>
      <c r="AV16" s="11">
        <f>AU16</f>
        <v/>
      </c>
      <c r="AW16" s="3" t="n">
        <v>12</v>
      </c>
      <c r="AX16" s="18">
        <f>AN16</f>
        <v/>
      </c>
      <c r="AY16" s="8">
        <f>BF15</f>
        <v/>
      </c>
      <c r="AZ16" s="10" t="n">
        <v>0</v>
      </c>
      <c r="BA16" s="8">
        <f>AY16+AZ16</f>
        <v/>
      </c>
      <c r="BB16" s="61" t="n">
        <v>0</v>
      </c>
      <c r="BC16" s="8" t="n">
        <v>0.03</v>
      </c>
      <c r="BD16" s="12">
        <f>BC16*BB16</f>
        <v/>
      </c>
      <c r="BE16" s="10">
        <f>BA16-BD16</f>
        <v/>
      </c>
      <c r="BF16" s="11">
        <f>BE16</f>
        <v/>
      </c>
      <c r="BG16" s="10">
        <f>AV16+BF16</f>
        <v/>
      </c>
      <c r="BI16" s="3" t="n">
        <v>12</v>
      </c>
      <c r="BJ16" s="18">
        <f>AX16</f>
        <v/>
      </c>
      <c r="BK16" s="8">
        <f>BR15</f>
        <v/>
      </c>
      <c r="BL16" s="10" t="n">
        <v>0</v>
      </c>
      <c r="BM16" s="8">
        <f>BK16+BL16</f>
        <v/>
      </c>
      <c r="BN16" s="61" t="n">
        <v>0</v>
      </c>
      <c r="BO16" s="8" t="n">
        <v>0.02</v>
      </c>
      <c r="BP16" s="10">
        <f>BN16*BO16</f>
        <v/>
      </c>
      <c r="BQ16" s="10">
        <f>BM16-BP16</f>
        <v/>
      </c>
      <c r="BR16" s="11">
        <f>BQ16</f>
        <v/>
      </c>
      <c r="BS16" s="3" t="n">
        <v>12</v>
      </c>
      <c r="BT16" s="18">
        <f>BJ16</f>
        <v/>
      </c>
      <c r="BU16" s="8">
        <f>CB15</f>
        <v/>
      </c>
      <c r="BV16" s="10" t="n">
        <v>0</v>
      </c>
      <c r="BW16" s="8">
        <f>BU16+BV16</f>
        <v/>
      </c>
      <c r="BX16" s="61" t="n">
        <v>0</v>
      </c>
      <c r="BY16" s="8" t="n">
        <v>0.03</v>
      </c>
      <c r="BZ16" s="12">
        <f>BY16*BX16</f>
        <v/>
      </c>
      <c r="CA16" s="10">
        <f>BW16-BZ16</f>
        <v/>
      </c>
      <c r="CB16" s="11">
        <f>CA16</f>
        <v/>
      </c>
      <c r="CC16" s="10">
        <f>BR16+CB16</f>
        <v/>
      </c>
      <c r="CE16" s="3" t="n">
        <v>12</v>
      </c>
      <c r="CF16" s="18">
        <f>BT16</f>
        <v/>
      </c>
      <c r="CG16" s="8">
        <f>CN15</f>
        <v/>
      </c>
      <c r="CH16" s="10" t="n">
        <v>0</v>
      </c>
      <c r="CI16" s="8">
        <f>CG16+CH16</f>
        <v/>
      </c>
      <c r="CJ16" s="61" t="n">
        <v>0</v>
      </c>
      <c r="CK16" s="8" t="n">
        <v>0.02</v>
      </c>
      <c r="CL16" s="10">
        <f>CJ16*CK16</f>
        <v/>
      </c>
      <c r="CM16" s="10">
        <f>CI16-CL16</f>
        <v/>
      </c>
      <c r="CN16" s="11">
        <f>CM16</f>
        <v/>
      </c>
      <c r="CO16" s="3" t="n">
        <v>12</v>
      </c>
      <c r="CP16" s="18">
        <f>CF16</f>
        <v/>
      </c>
      <c r="CQ16" s="8">
        <f>CX15</f>
        <v/>
      </c>
      <c r="CR16" s="10" t="n">
        <v>0</v>
      </c>
      <c r="CS16" s="8">
        <f>CQ16+CR16</f>
        <v/>
      </c>
      <c r="CT16" s="61" t="n">
        <v>0</v>
      </c>
      <c r="CU16" s="8" t="n">
        <v>0.03</v>
      </c>
      <c r="CV16" s="12">
        <f>CU16*CT16</f>
        <v/>
      </c>
      <c r="CW16" s="10">
        <f>CS16-CV16</f>
        <v/>
      </c>
      <c r="CX16" s="11">
        <f>CW16</f>
        <v/>
      </c>
      <c r="CY16" s="10">
        <f>CN16+CX16</f>
        <v/>
      </c>
      <c r="DA16" s="3" t="n">
        <v>12</v>
      </c>
      <c r="DB16" s="18">
        <f>CP16</f>
        <v/>
      </c>
      <c r="DC16" s="8">
        <f>DJ15</f>
        <v/>
      </c>
      <c r="DD16" s="10" t="n">
        <v>0</v>
      </c>
      <c r="DE16" s="8">
        <f>DC16+DD16</f>
        <v/>
      </c>
      <c r="DF16" s="61">
        <f>K16</f>
        <v/>
      </c>
      <c r="DG16" s="106" t="n">
        <v>0.0001</v>
      </c>
      <c r="DH16" s="10">
        <f>DF16*DG16</f>
        <v/>
      </c>
      <c r="DI16" s="10">
        <f>DE16-DH16</f>
        <v/>
      </c>
      <c r="DJ16" s="11">
        <f>DI16</f>
        <v/>
      </c>
      <c r="DK16" s="3" t="n">
        <v>12</v>
      </c>
      <c r="DL16" s="18">
        <f>DB16</f>
        <v/>
      </c>
      <c r="DM16" s="8">
        <f>DT15</f>
        <v/>
      </c>
      <c r="DN16" s="10" t="n">
        <v>0</v>
      </c>
      <c r="DO16" s="8">
        <f>DM16+DN16</f>
        <v/>
      </c>
      <c r="DP16" s="61">
        <f>L16</f>
        <v/>
      </c>
      <c r="DQ16" s="106" t="n">
        <v>0.0003</v>
      </c>
      <c r="DR16" s="12">
        <f>DQ16*DP16</f>
        <v/>
      </c>
      <c r="DS16" s="10">
        <f>DO16-DR16</f>
        <v/>
      </c>
      <c r="DT16" s="11">
        <f>DS16</f>
        <v/>
      </c>
      <c r="DU16" s="10">
        <f>DJ16+DT16</f>
        <v/>
      </c>
      <c r="DW16" s="3" t="n">
        <v>12</v>
      </c>
      <c r="DX16" s="18">
        <f>DL16</f>
        <v/>
      </c>
      <c r="DY16" s="8">
        <f>EF15</f>
        <v/>
      </c>
      <c r="DZ16" s="10" t="n">
        <v>0</v>
      </c>
      <c r="EA16" s="8">
        <f>DY16+DZ16</f>
        <v/>
      </c>
      <c r="EB16" s="61">
        <f>K16</f>
        <v/>
      </c>
      <c r="EC16" s="106" t="n">
        <v>0.0002</v>
      </c>
      <c r="ED16" s="10">
        <f>EB16*EC16</f>
        <v/>
      </c>
      <c r="EE16" s="10">
        <f>EA16-ED16</f>
        <v/>
      </c>
      <c r="EF16" s="11">
        <f>EE16</f>
        <v/>
      </c>
      <c r="EG16" s="3" t="n">
        <v>12</v>
      </c>
      <c r="EH16" s="18">
        <f>DX16</f>
        <v/>
      </c>
      <c r="EI16" s="8">
        <f>EP15</f>
        <v/>
      </c>
      <c r="EJ16" s="10" t="n">
        <v>0</v>
      </c>
      <c r="EK16" s="8">
        <f>EI16+EJ16</f>
        <v/>
      </c>
      <c r="EL16" s="61">
        <f>L16</f>
        <v/>
      </c>
      <c r="EM16" s="106" t="n">
        <v>0.0005999999999999999</v>
      </c>
      <c r="EN16" s="12">
        <f>EM16*EL16</f>
        <v/>
      </c>
      <c r="EO16" s="10">
        <f>EK16-EN16</f>
        <v/>
      </c>
      <c r="EP16" s="11">
        <f>EO16</f>
        <v/>
      </c>
      <c r="EQ16" s="10">
        <f>EF16+EP16</f>
        <v/>
      </c>
      <c r="ES16" s="3" t="n">
        <v>12</v>
      </c>
      <c r="ET16" s="18">
        <f>EH16</f>
        <v/>
      </c>
      <c r="EU16" s="8">
        <f>FB15</f>
        <v/>
      </c>
      <c r="EV16" s="10" t="n">
        <v>0</v>
      </c>
      <c r="EW16" s="8">
        <f>EU16+EV16</f>
        <v/>
      </c>
      <c r="EX16" s="61">
        <f>K16</f>
        <v/>
      </c>
      <c r="EY16" s="107" t="n">
        <v>0.002</v>
      </c>
      <c r="EZ16" s="10">
        <f>EX16*EY16</f>
        <v/>
      </c>
      <c r="FA16" s="10">
        <f>EW16-EZ16</f>
        <v/>
      </c>
      <c r="FB16" s="11">
        <f>FA16</f>
        <v/>
      </c>
      <c r="FC16" s="3" t="n">
        <v>12</v>
      </c>
      <c r="FD16" s="18">
        <f>ET16</f>
        <v/>
      </c>
      <c r="FE16" s="8">
        <f>FL15</f>
        <v/>
      </c>
      <c r="FF16" s="10" t="n">
        <v>0</v>
      </c>
      <c r="FG16" s="8">
        <f>FE16+FF16</f>
        <v/>
      </c>
      <c r="FH16" s="61">
        <f>L16</f>
        <v/>
      </c>
      <c r="FI16" s="107" t="n">
        <v>0.0025</v>
      </c>
      <c r="FJ16" s="12">
        <f>FI16*FH16</f>
        <v/>
      </c>
      <c r="FK16" s="10">
        <f>FG16-FJ16</f>
        <v/>
      </c>
      <c r="FL16" s="11">
        <f>FK16</f>
        <v/>
      </c>
      <c r="FM16" s="10">
        <f>FB16+FL16</f>
        <v/>
      </c>
      <c r="FO16" s="3" t="n">
        <v>12</v>
      </c>
      <c r="FP16" s="18">
        <f>FD16</f>
        <v/>
      </c>
      <c r="FQ16" s="8">
        <f>FX15</f>
        <v/>
      </c>
      <c r="FR16" s="10" t="n">
        <v>0</v>
      </c>
      <c r="FS16" s="8">
        <f>FQ16+FR16</f>
        <v/>
      </c>
      <c r="FT16" s="61">
        <f>K16</f>
        <v/>
      </c>
      <c r="FU16" s="8" t="n">
        <v>0.002</v>
      </c>
      <c r="FV16" s="10">
        <f>FT16*FU16</f>
        <v/>
      </c>
      <c r="FW16" s="10">
        <f>FS16-FV16</f>
        <v/>
      </c>
      <c r="FX16" s="11">
        <f>FW16</f>
        <v/>
      </c>
      <c r="FY16" s="3" t="n">
        <v>12</v>
      </c>
      <c r="FZ16" s="18">
        <f>FP16</f>
        <v/>
      </c>
      <c r="GA16" s="8">
        <f>GH15</f>
        <v/>
      </c>
      <c r="GB16" s="10" t="n">
        <v>0</v>
      </c>
      <c r="GC16" s="8">
        <f>GA16+GB16</f>
        <v/>
      </c>
      <c r="GD16" s="61">
        <f>L16</f>
        <v/>
      </c>
      <c r="GE16" s="8" t="n">
        <v>0.005</v>
      </c>
      <c r="GF16" s="12">
        <f>GE16*GD16</f>
        <v/>
      </c>
      <c r="GG16" s="10">
        <f>GC16-GF16</f>
        <v/>
      </c>
      <c r="GH16" s="11">
        <f>GG16</f>
        <v/>
      </c>
      <c r="GI16" s="10">
        <f>FX16+GH16</f>
        <v/>
      </c>
      <c r="GK16" s="3" t="n">
        <v>12</v>
      </c>
      <c r="GL16" s="18">
        <f>FZ16</f>
        <v/>
      </c>
      <c r="GM16" s="8">
        <f>GT15</f>
        <v/>
      </c>
      <c r="GN16" s="10" t="n">
        <v>0</v>
      </c>
      <c r="GO16" s="8">
        <f>GM16+GN16</f>
        <v/>
      </c>
      <c r="GP16" s="61">
        <f>K16</f>
        <v/>
      </c>
      <c r="GQ16" s="8" t="n">
        <v>0.005</v>
      </c>
      <c r="GR16" s="10">
        <f>GP16*GQ16</f>
        <v/>
      </c>
      <c r="GS16" s="10">
        <f>GO16-GR16</f>
        <v/>
      </c>
      <c r="GT16" s="11">
        <f>GS16</f>
        <v/>
      </c>
      <c r="GU16" s="3" t="n">
        <v>12</v>
      </c>
      <c r="GV16" s="18">
        <f>GL16</f>
        <v/>
      </c>
      <c r="GW16" s="8">
        <f>HD15</f>
        <v/>
      </c>
      <c r="GX16" s="10" t="n">
        <v>0</v>
      </c>
      <c r="GY16" s="8">
        <f>GW16+GX16</f>
        <v/>
      </c>
      <c r="GZ16" s="61">
        <f>L16</f>
        <v/>
      </c>
      <c r="HA16" s="8" t="n">
        <v>0.0075</v>
      </c>
      <c r="HB16" s="12">
        <f>HA16*GZ16</f>
        <v/>
      </c>
      <c r="HC16" s="10">
        <f>GY16-HB16</f>
        <v/>
      </c>
      <c r="HD16" s="11">
        <f>HC16</f>
        <v/>
      </c>
      <c r="HE16" s="10">
        <f>GT16+HD16</f>
        <v/>
      </c>
      <c r="HG16" s="3" t="n">
        <v>12</v>
      </c>
      <c r="HH16" s="18">
        <f>GV16</f>
        <v/>
      </c>
      <c r="HI16" s="61">
        <f>K16</f>
        <v/>
      </c>
      <c r="HJ16" s="22" t="n">
        <v>1</v>
      </c>
      <c r="HK16" s="23">
        <f>HI16*HJ16</f>
        <v/>
      </c>
      <c r="HL16" s="61" t="n">
        <v>0.89</v>
      </c>
      <c r="HM16" s="23">
        <f>HI16*HL16</f>
        <v/>
      </c>
      <c r="HN16" s="22" t="n">
        <v>0.7</v>
      </c>
      <c r="HO16" s="22">
        <f>HN16*HI16</f>
        <v/>
      </c>
      <c r="HP16" s="22" t="n">
        <v>2.59</v>
      </c>
      <c r="HQ16" s="9">
        <f>HI16*HP16</f>
        <v/>
      </c>
      <c r="HR16" s="3" t="n">
        <v>12</v>
      </c>
      <c r="HS16" s="18" t="n">
        <v>45267</v>
      </c>
      <c r="HT16" s="61">
        <f>L16</f>
        <v/>
      </c>
      <c r="HU16" s="22" t="n">
        <v>1.64</v>
      </c>
      <c r="HV16" s="23">
        <f>HT16*HU16</f>
        <v/>
      </c>
      <c r="HW16" s="61" t="n">
        <v>1.14</v>
      </c>
      <c r="HX16" s="23">
        <f>HT16*HW16</f>
        <v/>
      </c>
      <c r="HY16" s="22" t="n">
        <v>1.1</v>
      </c>
      <c r="HZ16" s="22">
        <f>HY16*HT16</f>
        <v/>
      </c>
      <c r="IA16" s="22" t="n">
        <v>3.11</v>
      </c>
      <c r="IB16" s="9">
        <f>HT16*IA16</f>
        <v/>
      </c>
      <c r="IC16" s="9">
        <f>HK16+HV16</f>
        <v/>
      </c>
      <c r="ID16" s="9">
        <f>HM16+HX16</f>
        <v/>
      </c>
      <c r="IE16" s="9">
        <f>HO16+HZ16</f>
        <v/>
      </c>
      <c r="IF16" s="103" t="n"/>
      <c r="IG16" s="109">
        <f>HH16</f>
        <v/>
      </c>
      <c r="IH16" s="132" t="inlineStr">
        <is>
          <t>lkseokj</t>
        </is>
      </c>
      <c r="II16" s="140" t="inlineStr">
        <is>
          <t>elqj nkG</t>
        </is>
      </c>
      <c r="IJ16" s="105">
        <f>IJ15</f>
        <v/>
      </c>
      <c r="IK16" s="105">
        <f>IJ16</f>
        <v/>
      </c>
      <c r="IL16" s="105">
        <f>K16</f>
        <v/>
      </c>
      <c r="IM16" s="105">
        <f>IL16*100</f>
        <v/>
      </c>
      <c r="IN16" s="105">
        <f>IL16*20</f>
        <v/>
      </c>
      <c r="IO16" s="105" t="n"/>
      <c r="IP16" s="105" t="n"/>
      <c r="IQ16" s="105">
        <f>IL16*0.3</f>
        <v/>
      </c>
      <c r="IR16" s="105">
        <f>IL16*0.4</f>
        <v/>
      </c>
      <c r="IS16" s="105">
        <f>IL16*1.5</f>
        <v/>
      </c>
      <c r="IT16" s="105">
        <f>IL16*5</f>
        <v/>
      </c>
      <c r="IU16" s="105">
        <f>IL16*2</f>
        <v/>
      </c>
      <c r="IV16" s="105">
        <f>IL16*2.08</f>
        <v/>
      </c>
      <c r="IW16" s="105" t="n"/>
      <c r="IX16" s="105">
        <f>IL16*2.08</f>
        <v/>
      </c>
      <c r="IY16" s="105" t="n"/>
      <c r="IZ16" s="109">
        <f>IG16</f>
        <v/>
      </c>
      <c r="JA16" s="132" t="inlineStr">
        <is>
          <t>lkseokj</t>
        </is>
      </c>
      <c r="JB16" s="140" t="inlineStr">
        <is>
          <t>elqj nkG</t>
        </is>
      </c>
      <c r="JC16" s="105">
        <f>JC15</f>
        <v/>
      </c>
      <c r="JD16" s="105">
        <f>JC16</f>
        <v/>
      </c>
      <c r="JE16" s="105">
        <f>L16</f>
        <v/>
      </c>
      <c r="JF16" s="105">
        <f>JE16*150</f>
        <v/>
      </c>
      <c r="JG16" s="105">
        <f>JE16*30</f>
        <v/>
      </c>
      <c r="JH16" s="105" t="n"/>
      <c r="JI16" s="105" t="n"/>
      <c r="JJ16" s="105">
        <f>JE16*0.25</f>
        <v/>
      </c>
      <c r="JK16" s="105">
        <f>JE16*0.4</f>
        <v/>
      </c>
      <c r="JL16" s="105">
        <f>JE16*2.5</f>
        <v/>
      </c>
      <c r="JM16" s="105">
        <f>JE16*7.5</f>
        <v/>
      </c>
      <c r="JN16" s="105">
        <f>JE16*4</f>
        <v/>
      </c>
      <c r="JO16" s="105">
        <f>JE16*3.11</f>
        <v/>
      </c>
      <c r="JP16" s="105" t="n"/>
      <c r="JQ16" s="105">
        <f>JE16*3.11</f>
        <v/>
      </c>
      <c r="JR16" s="105" t="n"/>
      <c r="JS16" s="103" t="n"/>
      <c r="JT16" s="59" t="n">
        <v>10</v>
      </c>
      <c r="JU16" s="30" t="inlineStr">
        <is>
          <t>lks;k- rsy</t>
        </is>
      </c>
      <c r="JV16" s="38">
        <f>GT35</f>
        <v/>
      </c>
      <c r="JW16" s="38">
        <f>HD35</f>
        <v/>
      </c>
      <c r="JX16" s="38">
        <f>SUM(JV16:JW16)</f>
        <v/>
      </c>
      <c r="JY16" s="56" t="n"/>
      <c r="JZ16" s="103" t="n"/>
      <c r="KA16" s="59" t="n">
        <v>10</v>
      </c>
      <c r="KB16" s="30" t="inlineStr">
        <is>
          <t>lks;k- rsy</t>
        </is>
      </c>
      <c r="KC16" s="38">
        <f>JV16</f>
        <v/>
      </c>
      <c r="KD16" s="38">
        <f>GN36</f>
        <v/>
      </c>
      <c r="KE16" s="38">
        <f>GR36</f>
        <v/>
      </c>
      <c r="KF16" s="38" t="n"/>
      <c r="KG16" s="38">
        <f>JW16</f>
        <v/>
      </c>
      <c r="KH16" s="38">
        <f>GX36</f>
        <v/>
      </c>
      <c r="KI16" s="38">
        <f>HB36</f>
        <v/>
      </c>
      <c r="KJ16" s="72" t="n"/>
    </row>
    <row r="17" ht="35.1" customHeight="1">
      <c r="A17" s="132" t="inlineStr">
        <is>
          <t>lkseokj</t>
        </is>
      </c>
      <c r="B17" s="114" t="inlineStr">
        <is>
          <t>13/04/2026</t>
        </is>
      </c>
      <c r="C17" s="108" t="n">
        <v>0</v>
      </c>
      <c r="D17" s="108">
        <f>C17</f>
        <v/>
      </c>
      <c r="E17" s="108" t="n">
        <v>0</v>
      </c>
      <c r="F17" s="108" t="n">
        <v>0</v>
      </c>
      <c r="G17" s="108" t="n">
        <v>0</v>
      </c>
      <c r="H17" s="108">
        <f>G17+F17+E17</f>
        <v/>
      </c>
      <c r="I17" s="132" t="inlineStr">
        <is>
          <t>lkseokj</t>
        </is>
      </c>
      <c r="J17" s="114" t="inlineStr">
        <is>
          <t>13/04/2026</t>
        </is>
      </c>
      <c r="K17" s="61">
        <f>D17</f>
        <v/>
      </c>
      <c r="L17" s="61">
        <f>H17</f>
        <v/>
      </c>
      <c r="M17" s="61">
        <f>SUM(K17:L17)</f>
        <v/>
      </c>
      <c r="N17" s="140" t="inlineStr">
        <is>
          <t>elqj nkG</t>
        </is>
      </c>
      <c r="O17" s="89" t="n"/>
      <c r="Q17" s="3" t="n">
        <v>13</v>
      </c>
      <c r="R17" s="114" t="inlineStr">
        <is>
          <t>13/04/2026</t>
        </is>
      </c>
      <c r="S17" s="11">
        <f>Z16</f>
        <v/>
      </c>
      <c r="T17" s="10" t="n">
        <v>0</v>
      </c>
      <c r="U17" s="8">
        <f>S17+T17</f>
        <v/>
      </c>
      <c r="V17" s="61">
        <f>K17</f>
        <v/>
      </c>
      <c r="W17" s="8" t="n">
        <v>0.1</v>
      </c>
      <c r="X17" s="10">
        <f>V17*W17</f>
        <v/>
      </c>
      <c r="Y17" s="10">
        <f>U17-X17</f>
        <v/>
      </c>
      <c r="Z17" s="11">
        <f>Y17</f>
        <v/>
      </c>
      <c r="AA17" s="3" t="n">
        <v>13</v>
      </c>
      <c r="AB17" s="18">
        <f>R17</f>
        <v/>
      </c>
      <c r="AC17" s="8">
        <f>AJ16</f>
        <v/>
      </c>
      <c r="AD17" s="10" t="n">
        <v>0</v>
      </c>
      <c r="AE17" s="8">
        <f>AC17+AD17</f>
        <v/>
      </c>
      <c r="AF17" s="61">
        <f>L17</f>
        <v/>
      </c>
      <c r="AG17" s="8" t="n">
        <v>0.15</v>
      </c>
      <c r="AH17" s="12">
        <f>AG17*AF17</f>
        <v/>
      </c>
      <c r="AI17" s="10">
        <f>AE17-AH17</f>
        <v/>
      </c>
      <c r="AJ17" s="11">
        <f>AI17</f>
        <v/>
      </c>
      <c r="AK17" s="10">
        <f>Z17+AJ17</f>
        <v/>
      </c>
      <c r="AM17" s="3" t="n">
        <v>13</v>
      </c>
      <c r="AN17" s="18">
        <f>AB17</f>
        <v/>
      </c>
      <c r="AO17" s="8">
        <f>AV16</f>
        <v/>
      </c>
      <c r="AP17" s="10" t="n">
        <v>0</v>
      </c>
      <c r="AQ17" s="8">
        <f>AO17+AP17</f>
        <v/>
      </c>
      <c r="AR17" s="61" t="n">
        <v>0</v>
      </c>
      <c r="AS17" s="8" t="n">
        <v>0.02</v>
      </c>
      <c r="AT17" s="10">
        <f>AR17*AS17</f>
        <v/>
      </c>
      <c r="AU17" s="10">
        <f>AQ17-AT17</f>
        <v/>
      </c>
      <c r="AV17" s="11">
        <f>AU17</f>
        <v/>
      </c>
      <c r="AW17" s="3" t="n">
        <v>13</v>
      </c>
      <c r="AX17" s="18">
        <f>AN17</f>
        <v/>
      </c>
      <c r="AY17" s="8">
        <f>BF16</f>
        <v/>
      </c>
      <c r="AZ17" s="10" t="n">
        <v>0</v>
      </c>
      <c r="BA17" s="8">
        <f>AY17+AZ17</f>
        <v/>
      </c>
      <c r="BB17" s="61" t="n">
        <v>0</v>
      </c>
      <c r="BC17" s="8" t="n">
        <v>0.03</v>
      </c>
      <c r="BD17" s="12">
        <f>BC17*BB17</f>
        <v/>
      </c>
      <c r="BE17" s="10">
        <f>BA17-BD17</f>
        <v/>
      </c>
      <c r="BF17" s="11">
        <f>BE17</f>
        <v/>
      </c>
      <c r="BG17" s="10">
        <f>AV17+BF17</f>
        <v/>
      </c>
      <c r="BI17" s="3" t="n">
        <v>13</v>
      </c>
      <c r="BJ17" s="18">
        <f>AX17</f>
        <v/>
      </c>
      <c r="BK17" s="8">
        <f>BR16</f>
        <v/>
      </c>
      <c r="BL17" s="10" t="n">
        <v>0</v>
      </c>
      <c r="BM17" s="8">
        <f>BK17+BL17</f>
        <v/>
      </c>
      <c r="BN17" s="61">
        <f>K17</f>
        <v/>
      </c>
      <c r="BO17" s="8" t="n">
        <v>0.02</v>
      </c>
      <c r="BP17" s="10">
        <f>BN17*BO17</f>
        <v/>
      </c>
      <c r="BQ17" s="10">
        <f>BM17-BP17</f>
        <v/>
      </c>
      <c r="BR17" s="11">
        <f>BQ17</f>
        <v/>
      </c>
      <c r="BS17" s="3" t="n">
        <v>13</v>
      </c>
      <c r="BT17" s="18">
        <f>BJ17</f>
        <v/>
      </c>
      <c r="BU17" s="8">
        <f>CB16</f>
        <v/>
      </c>
      <c r="BV17" s="10" t="n">
        <v>0</v>
      </c>
      <c r="BW17" s="8">
        <f>BU17+BV17</f>
        <v/>
      </c>
      <c r="BX17" s="61">
        <f>L17</f>
        <v/>
      </c>
      <c r="BY17" s="8" t="n">
        <v>0.03</v>
      </c>
      <c r="BZ17" s="12">
        <f>BY17*BX17</f>
        <v/>
      </c>
      <c r="CA17" s="10">
        <f>BW17-BZ17</f>
        <v/>
      </c>
      <c r="CB17" s="11">
        <f>CA17</f>
        <v/>
      </c>
      <c r="CC17" s="10">
        <f>BR17+CB17</f>
        <v/>
      </c>
      <c r="CE17" s="3" t="n">
        <v>13</v>
      </c>
      <c r="CF17" s="18">
        <f>BT17</f>
        <v/>
      </c>
      <c r="CG17" s="8">
        <f>CN16</f>
        <v/>
      </c>
      <c r="CH17" s="10" t="n">
        <v>0</v>
      </c>
      <c r="CI17" s="8">
        <f>CG17+CH17</f>
        <v/>
      </c>
      <c r="CJ17" s="61" t="n">
        <v>0</v>
      </c>
      <c r="CK17" s="8" t="n">
        <v>0.02</v>
      </c>
      <c r="CL17" s="10">
        <f>CJ17*CK17</f>
        <v/>
      </c>
      <c r="CM17" s="10">
        <f>CI17-CL17</f>
        <v/>
      </c>
      <c r="CN17" s="11">
        <f>CM17</f>
        <v/>
      </c>
      <c r="CO17" s="3" t="n">
        <v>13</v>
      </c>
      <c r="CP17" s="18">
        <f>CF17</f>
        <v/>
      </c>
      <c r="CQ17" s="8">
        <f>CX16</f>
        <v/>
      </c>
      <c r="CR17" s="10" t="n">
        <v>0</v>
      </c>
      <c r="CS17" s="8">
        <f>CQ17+CR17</f>
        <v/>
      </c>
      <c r="CT17" s="61" t="n">
        <v>0</v>
      </c>
      <c r="CU17" s="8" t="n">
        <v>0.03</v>
      </c>
      <c r="CV17" s="12">
        <f>CU17*CT17</f>
        <v/>
      </c>
      <c r="CW17" s="10">
        <f>CS17-CV17</f>
        <v/>
      </c>
      <c r="CX17" s="11">
        <f>CW17</f>
        <v/>
      </c>
      <c r="CY17" s="10">
        <f>CN17+CX17</f>
        <v/>
      </c>
      <c r="DA17" s="3" t="n">
        <v>13</v>
      </c>
      <c r="DB17" s="18">
        <f>CP17</f>
        <v/>
      </c>
      <c r="DC17" s="8">
        <f>DJ16</f>
        <v/>
      </c>
      <c r="DD17" s="10" t="n">
        <v>0</v>
      </c>
      <c r="DE17" s="8">
        <f>DC17+DD17</f>
        <v/>
      </c>
      <c r="DF17" s="61">
        <f>K17</f>
        <v/>
      </c>
      <c r="DG17" s="106" t="n">
        <v>0.0001</v>
      </c>
      <c r="DH17" s="10">
        <f>DF17*DG17</f>
        <v/>
      </c>
      <c r="DI17" s="10">
        <f>DE17-DH17</f>
        <v/>
      </c>
      <c r="DJ17" s="11">
        <f>DI17</f>
        <v/>
      </c>
      <c r="DK17" s="3" t="n">
        <v>13</v>
      </c>
      <c r="DL17" s="18">
        <f>DB17</f>
        <v/>
      </c>
      <c r="DM17" s="8">
        <f>DT16</f>
        <v/>
      </c>
      <c r="DN17" s="10" t="n">
        <v>0</v>
      </c>
      <c r="DO17" s="8">
        <f>DM17+DN17</f>
        <v/>
      </c>
      <c r="DP17" s="61">
        <f>L17</f>
        <v/>
      </c>
      <c r="DQ17" s="106" t="n">
        <v>0.0003</v>
      </c>
      <c r="DR17" s="12">
        <f>DQ17*DP17</f>
        <v/>
      </c>
      <c r="DS17" s="10">
        <f>DO17-DR17</f>
        <v/>
      </c>
      <c r="DT17" s="11">
        <f>DS17</f>
        <v/>
      </c>
      <c r="DU17" s="10">
        <f>DJ17+DT17</f>
        <v/>
      </c>
      <c r="DW17" s="3" t="n">
        <v>13</v>
      </c>
      <c r="DX17" s="18">
        <f>DL17</f>
        <v/>
      </c>
      <c r="DY17" s="8">
        <f>EF16</f>
        <v/>
      </c>
      <c r="DZ17" s="10" t="n">
        <v>0</v>
      </c>
      <c r="EA17" s="8">
        <f>DY17+DZ17</f>
        <v/>
      </c>
      <c r="EB17" s="61">
        <f>K17</f>
        <v/>
      </c>
      <c r="EC17" s="106" t="n">
        <v>0.0002</v>
      </c>
      <c r="ED17" s="10">
        <f>EB17*EC17</f>
        <v/>
      </c>
      <c r="EE17" s="10">
        <f>EA17-ED17</f>
        <v/>
      </c>
      <c r="EF17" s="11">
        <f>EE17</f>
        <v/>
      </c>
      <c r="EG17" s="3" t="n">
        <v>13</v>
      </c>
      <c r="EH17" s="18">
        <f>DX17</f>
        <v/>
      </c>
      <c r="EI17" s="8">
        <f>EP16</f>
        <v/>
      </c>
      <c r="EJ17" s="10" t="n">
        <v>0</v>
      </c>
      <c r="EK17" s="8">
        <f>EI17+EJ17</f>
        <v/>
      </c>
      <c r="EL17" s="61">
        <f>L17</f>
        <v/>
      </c>
      <c r="EM17" s="106" t="n">
        <v>0.0005999999999999999</v>
      </c>
      <c r="EN17" s="12">
        <f>EM17*EL17</f>
        <v/>
      </c>
      <c r="EO17" s="10">
        <f>EK17-EN17</f>
        <v/>
      </c>
      <c r="EP17" s="11">
        <f>EO17</f>
        <v/>
      </c>
      <c r="EQ17" s="10">
        <f>EF17+EP17</f>
        <v/>
      </c>
      <c r="ES17" s="3" t="n">
        <v>13</v>
      </c>
      <c r="ET17" s="18">
        <f>EH17</f>
        <v/>
      </c>
      <c r="EU17" s="8">
        <f>FB16</f>
        <v/>
      </c>
      <c r="EV17" s="10" t="n">
        <v>0</v>
      </c>
      <c r="EW17" s="8">
        <f>EU17+EV17</f>
        <v/>
      </c>
      <c r="EX17" s="61">
        <f>K17</f>
        <v/>
      </c>
      <c r="EY17" s="107" t="n">
        <v>0.002</v>
      </c>
      <c r="EZ17" s="10">
        <f>EX17*EY17</f>
        <v/>
      </c>
      <c r="FA17" s="10">
        <f>EW17-EZ17</f>
        <v/>
      </c>
      <c r="FB17" s="11">
        <f>FA17</f>
        <v/>
      </c>
      <c r="FC17" s="3" t="n">
        <v>13</v>
      </c>
      <c r="FD17" s="18">
        <f>ET17</f>
        <v/>
      </c>
      <c r="FE17" s="8">
        <f>FL16</f>
        <v/>
      </c>
      <c r="FF17" s="10" t="n">
        <v>0</v>
      </c>
      <c r="FG17" s="8">
        <f>FE17+FF17</f>
        <v/>
      </c>
      <c r="FH17" s="61">
        <f>L17</f>
        <v/>
      </c>
      <c r="FI17" s="107" t="n">
        <v>0.0025</v>
      </c>
      <c r="FJ17" s="12">
        <f>FI17*FH17</f>
        <v/>
      </c>
      <c r="FK17" s="10">
        <f>FG17-FJ17</f>
        <v/>
      </c>
      <c r="FL17" s="11">
        <f>FK17</f>
        <v/>
      </c>
      <c r="FM17" s="10">
        <f>FB17+FL17</f>
        <v/>
      </c>
      <c r="FO17" s="3" t="n">
        <v>13</v>
      </c>
      <c r="FP17" s="18">
        <f>FD17</f>
        <v/>
      </c>
      <c r="FQ17" s="8">
        <f>FX16</f>
        <v/>
      </c>
      <c r="FR17" s="10" t="n">
        <v>0</v>
      </c>
      <c r="FS17" s="8">
        <f>FQ17+FR17</f>
        <v/>
      </c>
      <c r="FT17" s="61">
        <f>K17</f>
        <v/>
      </c>
      <c r="FU17" s="8" t="n">
        <v>0.002</v>
      </c>
      <c r="FV17" s="10">
        <f>FT17*FU17</f>
        <v/>
      </c>
      <c r="FW17" s="10">
        <f>FS17-FV17</f>
        <v/>
      </c>
      <c r="FX17" s="11">
        <f>FW17</f>
        <v/>
      </c>
      <c r="FY17" s="3" t="n">
        <v>13</v>
      </c>
      <c r="FZ17" s="18">
        <f>FP17</f>
        <v/>
      </c>
      <c r="GA17" s="8">
        <f>GH16</f>
        <v/>
      </c>
      <c r="GB17" s="10" t="n">
        <v>0</v>
      </c>
      <c r="GC17" s="8">
        <f>GA17+GB17</f>
        <v/>
      </c>
      <c r="GD17" s="61">
        <f>L17</f>
        <v/>
      </c>
      <c r="GE17" s="8" t="n">
        <v>0.005</v>
      </c>
      <c r="GF17" s="12">
        <f>GE17*GD17</f>
        <v/>
      </c>
      <c r="GG17" s="10">
        <f>GC17-GF17</f>
        <v/>
      </c>
      <c r="GH17" s="11">
        <f>GG17</f>
        <v/>
      </c>
      <c r="GI17" s="10">
        <f>FX17+GH17</f>
        <v/>
      </c>
      <c r="GK17" s="3" t="n">
        <v>13</v>
      </c>
      <c r="GL17" s="18">
        <f>FZ17</f>
        <v/>
      </c>
      <c r="GM17" s="8">
        <f>GT16</f>
        <v/>
      </c>
      <c r="GN17" s="10" t="n">
        <v>0</v>
      </c>
      <c r="GO17" s="8">
        <f>GM17+GN17</f>
        <v/>
      </c>
      <c r="GP17" s="61">
        <f>K17</f>
        <v/>
      </c>
      <c r="GQ17" s="8" t="n">
        <v>0.005</v>
      </c>
      <c r="GR17" s="10">
        <f>GP17*GQ17</f>
        <v/>
      </c>
      <c r="GS17" s="10">
        <f>GO17-GR17</f>
        <v/>
      </c>
      <c r="GT17" s="11">
        <f>GS17</f>
        <v/>
      </c>
      <c r="GU17" s="3" t="n">
        <v>13</v>
      </c>
      <c r="GV17" s="18">
        <f>GL17</f>
        <v/>
      </c>
      <c r="GW17" s="8">
        <f>HD16</f>
        <v/>
      </c>
      <c r="GX17" s="10" t="n">
        <v>0</v>
      </c>
      <c r="GY17" s="8">
        <f>GW17+GX17</f>
        <v/>
      </c>
      <c r="GZ17" s="61">
        <f>L17</f>
        <v/>
      </c>
      <c r="HA17" s="8" t="n">
        <v>0.0075</v>
      </c>
      <c r="HB17" s="12">
        <f>HA17*GZ17</f>
        <v/>
      </c>
      <c r="HC17" s="10">
        <f>GY17-HB17</f>
        <v/>
      </c>
      <c r="HD17" s="11">
        <f>HC17</f>
        <v/>
      </c>
      <c r="HE17" s="10">
        <f>GT17+HD17</f>
        <v/>
      </c>
      <c r="HG17" s="3" t="n">
        <v>13</v>
      </c>
      <c r="HH17" s="18">
        <f>GV17</f>
        <v/>
      </c>
      <c r="HI17" s="61">
        <f>K17</f>
        <v/>
      </c>
      <c r="HJ17" s="22" t="n">
        <v>1</v>
      </c>
      <c r="HK17" s="23">
        <f>HI17*HJ17</f>
        <v/>
      </c>
      <c r="HL17" s="61" t="n">
        <v>0.89</v>
      </c>
      <c r="HM17" s="23">
        <f>HI17*HL17</f>
        <v/>
      </c>
      <c r="HN17" s="22" t="n">
        <v>0.7</v>
      </c>
      <c r="HO17" s="22">
        <f>HN17*HI17</f>
        <v/>
      </c>
      <c r="HP17" s="22" t="n">
        <v>2.59</v>
      </c>
      <c r="HQ17" s="9">
        <f>HI17*HP17</f>
        <v/>
      </c>
      <c r="HR17" s="3" t="n">
        <v>13</v>
      </c>
      <c r="HS17" s="19" t="inlineStr">
        <is>
          <t>13/7/2023</t>
        </is>
      </c>
      <c r="HT17" s="61">
        <f>L17</f>
        <v/>
      </c>
      <c r="HU17" s="22" t="n">
        <v>1.64</v>
      </c>
      <c r="HV17" s="23">
        <f>HT17*HU17</f>
        <v/>
      </c>
      <c r="HW17" s="61" t="n">
        <v>1.14</v>
      </c>
      <c r="HX17" s="23">
        <f>HT17*HW17</f>
        <v/>
      </c>
      <c r="HY17" s="22" t="n">
        <v>1.1</v>
      </c>
      <c r="HZ17" s="22">
        <f>HY17*HT17</f>
        <v/>
      </c>
      <c r="IA17" s="22" t="n">
        <v>3.11</v>
      </c>
      <c r="IB17" s="9">
        <f>HT17*IA17</f>
        <v/>
      </c>
      <c r="IC17" s="9">
        <f>HK17+HV17</f>
        <v/>
      </c>
      <c r="ID17" s="9">
        <f>HM17+HX17</f>
        <v/>
      </c>
      <c r="IE17" s="9">
        <f>HO17+HZ17</f>
        <v/>
      </c>
      <c r="IF17" s="103" t="n"/>
      <c r="IG17" s="109">
        <f>HH17</f>
        <v/>
      </c>
      <c r="IH17" s="132" t="inlineStr">
        <is>
          <t>eaxGokj</t>
        </is>
      </c>
      <c r="II17" s="140" t="inlineStr">
        <is>
          <t>okVk.kk</t>
        </is>
      </c>
      <c r="IJ17" s="105">
        <f>IJ16</f>
        <v/>
      </c>
      <c r="IK17" s="105">
        <f>IJ17</f>
        <v/>
      </c>
      <c r="IL17" s="105">
        <f>K17</f>
        <v/>
      </c>
      <c r="IM17" s="105">
        <f>IL17*100</f>
        <v/>
      </c>
      <c r="IN17" s="105" t="n"/>
      <c r="IO17" s="105">
        <f>IL17*20</f>
        <v/>
      </c>
      <c r="IP17" s="105" t="n"/>
      <c r="IQ17" s="105">
        <f>IL17*0.3</f>
        <v/>
      </c>
      <c r="IR17" s="105">
        <f>IL17*0.4</f>
        <v/>
      </c>
      <c r="IS17" s="105">
        <f>IL17*1.5</f>
        <v/>
      </c>
      <c r="IT17" s="105">
        <f>IL17*5</f>
        <v/>
      </c>
      <c r="IU17" s="105">
        <f>IL17*2</f>
        <v/>
      </c>
      <c r="IV17" s="105">
        <f>IL17*2.08</f>
        <v/>
      </c>
      <c r="IW17" s="105" t="n"/>
      <c r="IX17" s="105">
        <f>IL17*2.08</f>
        <v/>
      </c>
      <c r="IY17" s="105" t="n"/>
      <c r="IZ17" s="109">
        <f>IG17</f>
        <v/>
      </c>
      <c r="JA17" s="132" t="inlineStr">
        <is>
          <t>eaxGokj</t>
        </is>
      </c>
      <c r="JB17" s="140" t="inlineStr">
        <is>
          <t>okVk.kk</t>
        </is>
      </c>
      <c r="JC17" s="105">
        <f>JC16</f>
        <v/>
      </c>
      <c r="JD17" s="105">
        <f>JC17</f>
        <v/>
      </c>
      <c r="JE17" s="105">
        <f>L17</f>
        <v/>
      </c>
      <c r="JF17" s="105">
        <f>JE17*150</f>
        <v/>
      </c>
      <c r="JG17" s="105" t="n"/>
      <c r="JH17" s="105">
        <f>JE17*30</f>
        <v/>
      </c>
      <c r="JI17" s="105" t="n"/>
      <c r="JJ17" s="105">
        <f>JE17*0.25</f>
        <v/>
      </c>
      <c r="JK17" s="105">
        <f>JE17*0.4</f>
        <v/>
      </c>
      <c r="JL17" s="105">
        <f>JE17*2.5</f>
        <v/>
      </c>
      <c r="JM17" s="105">
        <f>JE17*7.5</f>
        <v/>
      </c>
      <c r="JN17" s="105">
        <f>JE17*4</f>
        <v/>
      </c>
      <c r="JO17" s="105">
        <f>JE17*3.11</f>
        <v/>
      </c>
      <c r="JP17" s="105" t="n"/>
      <c r="JQ17" s="105">
        <f>JE17*3.11</f>
        <v/>
      </c>
      <c r="JR17" s="105" t="n"/>
      <c r="JS17" s="103" t="n"/>
      <c r="JT17" s="59" t="n">
        <v>10</v>
      </c>
      <c r="JU17" s="30" t="n"/>
      <c r="JV17" s="38" t="n"/>
      <c r="JW17" s="38" t="n"/>
      <c r="JX17" s="38" t="n"/>
      <c r="JY17" s="56" t="n"/>
      <c r="JZ17" s="103" t="n"/>
      <c r="KA17" s="59" t="n">
        <v>10</v>
      </c>
      <c r="KB17" s="30" t="n"/>
      <c r="KC17" s="38" t="n"/>
      <c r="KD17" s="38" t="n"/>
      <c r="KE17" s="38" t="n"/>
      <c r="KF17" s="38" t="n"/>
      <c r="KG17" s="38" t="n"/>
      <c r="KH17" s="38" t="n"/>
      <c r="KI17" s="38" t="n"/>
      <c r="KJ17" s="72" t="n"/>
    </row>
    <row r="18" ht="35.1" customHeight="1">
      <c r="A18" s="132" t="inlineStr">
        <is>
          <t>eaxGokj</t>
        </is>
      </c>
      <c r="B18" s="114" t="inlineStr">
        <is>
          <t>14/04/2026</t>
        </is>
      </c>
      <c r="C18" s="108" t="n">
        <v>0</v>
      </c>
      <c r="D18" s="108">
        <f>C18</f>
        <v/>
      </c>
      <c r="E18" s="108" t="n">
        <v>0</v>
      </c>
      <c r="F18" s="108" t="n">
        <v>0</v>
      </c>
      <c r="G18" s="108" t="n">
        <v>0</v>
      </c>
      <c r="H18" s="108">
        <f>G18+F18+E18</f>
        <v/>
      </c>
      <c r="I18" s="132" t="inlineStr">
        <is>
          <t>eaxGokj</t>
        </is>
      </c>
      <c r="J18" s="114" t="inlineStr">
        <is>
          <t>14/04/2026</t>
        </is>
      </c>
      <c r="K18" s="61">
        <f>D18</f>
        <v/>
      </c>
      <c r="L18" s="61">
        <f>H18</f>
        <v/>
      </c>
      <c r="M18" s="61">
        <f>SUM(K18:L18)</f>
        <v/>
      </c>
      <c r="N18" s="140" t="inlineStr">
        <is>
          <t>poGh</t>
        </is>
      </c>
      <c r="O18" s="89" t="n"/>
      <c r="Q18" s="3" t="n">
        <v>14</v>
      </c>
      <c r="R18" s="114" t="inlineStr">
        <is>
          <t>14/04/2026</t>
        </is>
      </c>
      <c r="S18" s="11">
        <f>Z17</f>
        <v/>
      </c>
      <c r="T18" s="10" t="n">
        <v>0</v>
      </c>
      <c r="U18" s="8">
        <f>S18+T18</f>
        <v/>
      </c>
      <c r="V18" s="61">
        <f>K18</f>
        <v/>
      </c>
      <c r="W18" s="8" t="n">
        <v>0.1</v>
      </c>
      <c r="X18" s="10">
        <f>V18*W18</f>
        <v/>
      </c>
      <c r="Y18" s="10">
        <f>U18-X18</f>
        <v/>
      </c>
      <c r="Z18" s="11">
        <f>Y18</f>
        <v/>
      </c>
      <c r="AA18" s="3" t="n">
        <v>14</v>
      </c>
      <c r="AB18" s="18">
        <f>R18</f>
        <v/>
      </c>
      <c r="AC18" s="8">
        <f>AJ17</f>
        <v/>
      </c>
      <c r="AD18" s="10" t="n">
        <v>0</v>
      </c>
      <c r="AE18" s="8">
        <f>AC18+AD18</f>
        <v/>
      </c>
      <c r="AF18" s="61">
        <f>L18</f>
        <v/>
      </c>
      <c r="AG18" s="8" t="n">
        <v>0.15</v>
      </c>
      <c r="AH18" s="12">
        <f>AG18*AF18</f>
        <v/>
      </c>
      <c r="AI18" s="10">
        <f>AE18-AH18</f>
        <v/>
      </c>
      <c r="AJ18" s="11">
        <f>AI18</f>
        <v/>
      </c>
      <c r="AK18" s="10">
        <f>Z18+AJ18</f>
        <v/>
      </c>
      <c r="AM18" s="3" t="n">
        <v>14</v>
      </c>
      <c r="AN18" s="18">
        <f>AB18</f>
        <v/>
      </c>
      <c r="AO18" s="8">
        <f>AV17</f>
        <v/>
      </c>
      <c r="AP18" s="10" t="n">
        <v>0</v>
      </c>
      <c r="AQ18" s="8">
        <f>AO18+AP18</f>
        <v/>
      </c>
      <c r="AR18" s="61" t="n">
        <v>0</v>
      </c>
      <c r="AS18" s="8" t="n">
        <v>0.02</v>
      </c>
      <c r="AT18" s="10">
        <f>AR18*AS18</f>
        <v/>
      </c>
      <c r="AU18" s="10">
        <f>AQ18-AT18</f>
        <v/>
      </c>
      <c r="AV18" s="11">
        <f>AU18</f>
        <v/>
      </c>
      <c r="AW18" s="3" t="n">
        <v>14</v>
      </c>
      <c r="AX18" s="18">
        <f>AN18</f>
        <v/>
      </c>
      <c r="AY18" s="8">
        <f>BF17</f>
        <v/>
      </c>
      <c r="AZ18" s="10" t="n">
        <v>0</v>
      </c>
      <c r="BA18" s="8">
        <f>AY18+AZ18</f>
        <v/>
      </c>
      <c r="BB18" s="61" t="n">
        <v>0</v>
      </c>
      <c r="BC18" s="8" t="n">
        <v>0.03</v>
      </c>
      <c r="BD18" s="12">
        <f>BC18*BB18</f>
        <v/>
      </c>
      <c r="BE18" s="10">
        <f>BA18-BD18</f>
        <v/>
      </c>
      <c r="BF18" s="11">
        <f>BE18</f>
        <v/>
      </c>
      <c r="BG18" s="10">
        <f>AV18+BF18</f>
        <v/>
      </c>
      <c r="BI18" s="3" t="n">
        <v>14</v>
      </c>
      <c r="BJ18" s="18">
        <f>AX18</f>
        <v/>
      </c>
      <c r="BK18" s="8">
        <f>BR17</f>
        <v/>
      </c>
      <c r="BL18" s="10" t="n">
        <v>0</v>
      </c>
      <c r="BM18" s="8">
        <f>BK18+BL18</f>
        <v/>
      </c>
      <c r="BN18" s="61" t="n">
        <v>0</v>
      </c>
      <c r="BO18" s="8" t="n">
        <v>0.02</v>
      </c>
      <c r="BP18" s="10">
        <f>BN18*BO18</f>
        <v/>
      </c>
      <c r="BQ18" s="10">
        <f>BM18-BP18</f>
        <v/>
      </c>
      <c r="BR18" s="11">
        <f>BQ18</f>
        <v/>
      </c>
      <c r="BS18" s="3" t="n">
        <v>14</v>
      </c>
      <c r="BT18" s="18">
        <f>BJ18</f>
        <v/>
      </c>
      <c r="BU18" s="8">
        <f>CB17</f>
        <v/>
      </c>
      <c r="BV18" s="10" t="n">
        <v>0</v>
      </c>
      <c r="BW18" s="8">
        <f>BU18+BV18</f>
        <v/>
      </c>
      <c r="BX18" s="61" t="n">
        <v>0</v>
      </c>
      <c r="BY18" s="8" t="n">
        <v>0.03</v>
      </c>
      <c r="BZ18" s="12">
        <f>BY18*BX18</f>
        <v/>
      </c>
      <c r="CA18" s="10">
        <f>BW18-BZ18</f>
        <v/>
      </c>
      <c r="CB18" s="11">
        <f>CA18</f>
        <v/>
      </c>
      <c r="CC18" s="10">
        <f>BR18+CB18</f>
        <v/>
      </c>
      <c r="CE18" s="3" t="n">
        <v>14</v>
      </c>
      <c r="CF18" s="18">
        <f>BT18</f>
        <v/>
      </c>
      <c r="CG18" s="8">
        <f>CN17</f>
        <v/>
      </c>
      <c r="CH18" s="10" t="n">
        <v>0</v>
      </c>
      <c r="CI18" s="8">
        <f>CG18+CH18</f>
        <v/>
      </c>
      <c r="CJ18" s="61" t="n">
        <v>0</v>
      </c>
      <c r="CK18" s="8" t="n">
        <v>0.02</v>
      </c>
      <c r="CL18" s="10">
        <f>CJ18*CK18</f>
        <v/>
      </c>
      <c r="CM18" s="10">
        <f>CI18-CL18</f>
        <v/>
      </c>
      <c r="CN18" s="11">
        <f>CM18</f>
        <v/>
      </c>
      <c r="CO18" s="3" t="n">
        <v>14</v>
      </c>
      <c r="CP18" s="18">
        <f>CF18</f>
        <v/>
      </c>
      <c r="CQ18" s="8">
        <f>CX17</f>
        <v/>
      </c>
      <c r="CR18" s="10" t="n">
        <v>0</v>
      </c>
      <c r="CS18" s="8">
        <f>CQ18+CR18</f>
        <v/>
      </c>
      <c r="CT18" s="61" t="n">
        <v>0</v>
      </c>
      <c r="CU18" s="8" t="n">
        <v>0.03</v>
      </c>
      <c r="CV18" s="12">
        <f>CU18*CT18</f>
        <v/>
      </c>
      <c r="CW18" s="10">
        <f>CS18-CV18</f>
        <v/>
      </c>
      <c r="CX18" s="11">
        <f>CW18</f>
        <v/>
      </c>
      <c r="CY18" s="10">
        <f>CN18+CX18</f>
        <v/>
      </c>
      <c r="DA18" s="3" t="n">
        <v>14</v>
      </c>
      <c r="DB18" s="18">
        <f>CP18</f>
        <v/>
      </c>
      <c r="DC18" s="8">
        <f>DJ17</f>
        <v/>
      </c>
      <c r="DD18" s="10" t="n">
        <v>0</v>
      </c>
      <c r="DE18" s="8">
        <f>DC18+DD18</f>
        <v/>
      </c>
      <c r="DF18" s="61">
        <f>K18</f>
        <v/>
      </c>
      <c r="DG18" s="106" t="n">
        <v>0.0001</v>
      </c>
      <c r="DH18" s="10">
        <f>DF18*DG18</f>
        <v/>
      </c>
      <c r="DI18" s="10">
        <f>DE18-DH18</f>
        <v/>
      </c>
      <c r="DJ18" s="11">
        <f>DI18</f>
        <v/>
      </c>
      <c r="DK18" s="3" t="n">
        <v>14</v>
      </c>
      <c r="DL18" s="18">
        <f>DB18</f>
        <v/>
      </c>
      <c r="DM18" s="8">
        <f>DT17</f>
        <v/>
      </c>
      <c r="DN18" s="10" t="n">
        <v>0</v>
      </c>
      <c r="DO18" s="8">
        <f>DM18+DN18</f>
        <v/>
      </c>
      <c r="DP18" s="61">
        <f>L18</f>
        <v/>
      </c>
      <c r="DQ18" s="106" t="n">
        <v>0.0003</v>
      </c>
      <c r="DR18" s="12">
        <f>DQ18*DP18</f>
        <v/>
      </c>
      <c r="DS18" s="10">
        <f>DO18-DR18</f>
        <v/>
      </c>
      <c r="DT18" s="11">
        <f>DS18</f>
        <v/>
      </c>
      <c r="DU18" s="10">
        <f>DJ18+DT18</f>
        <v/>
      </c>
      <c r="DW18" s="3" t="n">
        <v>14</v>
      </c>
      <c r="DX18" s="18">
        <f>DL18</f>
        <v/>
      </c>
      <c r="DY18" s="8">
        <f>EF17</f>
        <v/>
      </c>
      <c r="DZ18" s="10" t="n">
        <v>0</v>
      </c>
      <c r="EA18" s="8">
        <f>DY18+DZ18</f>
        <v/>
      </c>
      <c r="EB18" s="61">
        <f>K18</f>
        <v/>
      </c>
      <c r="EC18" s="106" t="n">
        <v>0.0002</v>
      </c>
      <c r="ED18" s="10">
        <f>EB18*EC18</f>
        <v/>
      </c>
      <c r="EE18" s="10">
        <f>EA18-ED18</f>
        <v/>
      </c>
      <c r="EF18" s="11">
        <f>EE18</f>
        <v/>
      </c>
      <c r="EG18" s="3" t="n">
        <v>14</v>
      </c>
      <c r="EH18" s="18">
        <f>DX18</f>
        <v/>
      </c>
      <c r="EI18" s="8">
        <f>EP17</f>
        <v/>
      </c>
      <c r="EJ18" s="10" t="n">
        <v>0</v>
      </c>
      <c r="EK18" s="8">
        <f>EI18+EJ18</f>
        <v/>
      </c>
      <c r="EL18" s="61">
        <f>L18</f>
        <v/>
      </c>
      <c r="EM18" s="106" t="n">
        <v>0.0005999999999999999</v>
      </c>
      <c r="EN18" s="12">
        <f>EM18*EL18</f>
        <v/>
      </c>
      <c r="EO18" s="10">
        <f>EK18-EN18</f>
        <v/>
      </c>
      <c r="EP18" s="11">
        <f>EO18</f>
        <v/>
      </c>
      <c r="EQ18" s="10">
        <f>EF18+EP18</f>
        <v/>
      </c>
      <c r="ES18" s="3" t="n">
        <v>14</v>
      </c>
      <c r="ET18" s="18">
        <f>EH18</f>
        <v/>
      </c>
      <c r="EU18" s="8">
        <f>FB17</f>
        <v/>
      </c>
      <c r="EV18" s="10" t="n">
        <v>0</v>
      </c>
      <c r="EW18" s="8">
        <f>EU18+EV18</f>
        <v/>
      </c>
      <c r="EX18" s="61">
        <f>K18</f>
        <v/>
      </c>
      <c r="EY18" s="107" t="n">
        <v>0.002</v>
      </c>
      <c r="EZ18" s="10">
        <f>EX18*EY18</f>
        <v/>
      </c>
      <c r="FA18" s="10">
        <f>EW18-EZ18</f>
        <v/>
      </c>
      <c r="FB18" s="11">
        <f>FA18</f>
        <v/>
      </c>
      <c r="FC18" s="3" t="n">
        <v>14</v>
      </c>
      <c r="FD18" s="18">
        <f>ET18</f>
        <v/>
      </c>
      <c r="FE18" s="8">
        <f>FL17</f>
        <v/>
      </c>
      <c r="FF18" s="10" t="n">
        <v>0</v>
      </c>
      <c r="FG18" s="8">
        <f>FE18+FF18</f>
        <v/>
      </c>
      <c r="FH18" s="61">
        <f>L18</f>
        <v/>
      </c>
      <c r="FI18" s="107" t="n">
        <v>0.0025</v>
      </c>
      <c r="FJ18" s="12">
        <f>FI18*FH18</f>
        <v/>
      </c>
      <c r="FK18" s="10">
        <f>FG18-FJ18</f>
        <v/>
      </c>
      <c r="FL18" s="11">
        <f>FK18</f>
        <v/>
      </c>
      <c r="FM18" s="10">
        <f>FB18+FL18</f>
        <v/>
      </c>
      <c r="FO18" s="3" t="n">
        <v>14</v>
      </c>
      <c r="FP18" s="18">
        <f>FD18</f>
        <v/>
      </c>
      <c r="FQ18" s="8">
        <f>FX17</f>
        <v/>
      </c>
      <c r="FR18" s="10" t="n">
        <v>0</v>
      </c>
      <c r="FS18" s="8">
        <f>FQ18+FR18</f>
        <v/>
      </c>
      <c r="FT18" s="61">
        <f>K18</f>
        <v/>
      </c>
      <c r="FU18" s="8" t="n">
        <v>0.002</v>
      </c>
      <c r="FV18" s="10">
        <f>FT18*FU18</f>
        <v/>
      </c>
      <c r="FW18" s="10">
        <f>FS18-FV18</f>
        <v/>
      </c>
      <c r="FX18" s="11">
        <f>FW18</f>
        <v/>
      </c>
      <c r="FY18" s="3" t="n">
        <v>14</v>
      </c>
      <c r="FZ18" s="18">
        <f>FP18</f>
        <v/>
      </c>
      <c r="GA18" s="8">
        <f>GH17</f>
        <v/>
      </c>
      <c r="GB18" s="10" t="n">
        <v>0</v>
      </c>
      <c r="GC18" s="8">
        <f>GA18+GB18</f>
        <v/>
      </c>
      <c r="GD18" s="61">
        <f>L18</f>
        <v/>
      </c>
      <c r="GE18" s="8" t="n">
        <v>0.005</v>
      </c>
      <c r="GF18" s="12">
        <f>GE18*GD18</f>
        <v/>
      </c>
      <c r="GG18" s="10">
        <f>GC18-GF18</f>
        <v/>
      </c>
      <c r="GH18" s="11">
        <f>GG18</f>
        <v/>
      </c>
      <c r="GI18" s="10">
        <f>FX18+GH18</f>
        <v/>
      </c>
      <c r="GK18" s="3" t="n">
        <v>14</v>
      </c>
      <c r="GL18" s="18">
        <f>FZ18</f>
        <v/>
      </c>
      <c r="GM18" s="8">
        <f>GT17</f>
        <v/>
      </c>
      <c r="GN18" s="10" t="n">
        <v>0</v>
      </c>
      <c r="GO18" s="8">
        <f>GM18+GN18</f>
        <v/>
      </c>
      <c r="GP18" s="61">
        <f>K18</f>
        <v/>
      </c>
      <c r="GQ18" s="8" t="n">
        <v>0.005</v>
      </c>
      <c r="GR18" s="10">
        <f>GP18*GQ18</f>
        <v/>
      </c>
      <c r="GS18" s="10">
        <f>GO18-GR18</f>
        <v/>
      </c>
      <c r="GT18" s="11">
        <f>GS18</f>
        <v/>
      </c>
      <c r="GU18" s="3" t="n">
        <v>14</v>
      </c>
      <c r="GV18" s="18">
        <f>GL18</f>
        <v/>
      </c>
      <c r="GW18" s="8">
        <f>HD17</f>
        <v/>
      </c>
      <c r="GX18" s="10" t="n">
        <v>0</v>
      </c>
      <c r="GY18" s="8">
        <f>GW18+GX18</f>
        <v/>
      </c>
      <c r="GZ18" s="61">
        <f>L18</f>
        <v/>
      </c>
      <c r="HA18" s="8" t="n">
        <v>0.0075</v>
      </c>
      <c r="HB18" s="12">
        <f>HA18*GZ18</f>
        <v/>
      </c>
      <c r="HC18" s="10">
        <f>GY18-HB18</f>
        <v/>
      </c>
      <c r="HD18" s="11">
        <f>HC18</f>
        <v/>
      </c>
      <c r="HE18" s="10">
        <f>GT18+HD18</f>
        <v/>
      </c>
      <c r="HG18" s="3" t="n">
        <v>14</v>
      </c>
      <c r="HH18" s="18">
        <f>GV18</f>
        <v/>
      </c>
      <c r="HI18" s="61">
        <f>K18</f>
        <v/>
      </c>
      <c r="HJ18" s="22" t="n">
        <v>1</v>
      </c>
      <c r="HK18" s="23">
        <f>HI18*HJ18</f>
        <v/>
      </c>
      <c r="HL18" s="61" t="n">
        <v>0.89</v>
      </c>
      <c r="HM18" s="23">
        <f>HI18*HL18</f>
        <v/>
      </c>
      <c r="HN18" s="22" t="n">
        <v>0.7</v>
      </c>
      <c r="HO18" s="22">
        <f>HN18*HI18</f>
        <v/>
      </c>
      <c r="HP18" s="22" t="n">
        <v>2.59</v>
      </c>
      <c r="HQ18" s="9">
        <f>HI18*HP18</f>
        <v/>
      </c>
      <c r="HR18" s="3" t="n">
        <v>14</v>
      </c>
      <c r="HS18" s="19" t="inlineStr">
        <is>
          <t>14/7/2023</t>
        </is>
      </c>
      <c r="HT18" s="61">
        <f>L18</f>
        <v/>
      </c>
      <c r="HU18" s="22" t="n">
        <v>1.64</v>
      </c>
      <c r="HV18" s="23">
        <f>HT18*HU18</f>
        <v/>
      </c>
      <c r="HW18" s="61" t="n">
        <v>1.14</v>
      </c>
      <c r="HX18" s="23">
        <f>HT18*HW18</f>
        <v/>
      </c>
      <c r="HY18" s="22" t="n">
        <v>1.1</v>
      </c>
      <c r="HZ18" s="22">
        <f>HY18*HT18</f>
        <v/>
      </c>
      <c r="IA18" s="22" t="n">
        <v>3.11</v>
      </c>
      <c r="IB18" s="9">
        <f>HT18*IA18</f>
        <v/>
      </c>
      <c r="IC18" s="9">
        <f>HK18+HV18</f>
        <v/>
      </c>
      <c r="ID18" s="9">
        <f>HM18+HX18</f>
        <v/>
      </c>
      <c r="IE18" s="9">
        <f>HO18+HZ18</f>
        <v/>
      </c>
      <c r="IF18" s="103" t="n"/>
      <c r="IG18" s="109">
        <f>HH18</f>
        <v/>
      </c>
      <c r="IH18" s="132" t="inlineStr">
        <is>
          <t>cq/kokj</t>
        </is>
      </c>
      <c r="II18" s="140" t="inlineStr">
        <is>
          <t>gjcjk</t>
        </is>
      </c>
      <c r="IJ18" s="105">
        <f>IJ17</f>
        <v/>
      </c>
      <c r="IK18" s="105">
        <f>IJ18</f>
        <v/>
      </c>
      <c r="IL18" s="105">
        <f>K18</f>
        <v/>
      </c>
      <c r="IM18" s="105">
        <f>IL18*100</f>
        <v/>
      </c>
      <c r="IN18" s="105" t="n"/>
      <c r="IO18" s="105" t="n"/>
      <c r="IP18" s="105">
        <f>IL18*20</f>
        <v/>
      </c>
      <c r="IQ18" s="105">
        <f>IL18*0.3</f>
        <v/>
      </c>
      <c r="IR18" s="105">
        <f>IL18*0.4</f>
        <v/>
      </c>
      <c r="IS18" s="105">
        <f>IL18*1.5</f>
        <v/>
      </c>
      <c r="IT18" s="105">
        <f>IL18*5</f>
        <v/>
      </c>
      <c r="IU18" s="105">
        <f>IL18*2</f>
        <v/>
      </c>
      <c r="IV18" s="105">
        <f>IL18*2.08</f>
        <v/>
      </c>
      <c r="IW18" s="105" t="n"/>
      <c r="IX18" s="105">
        <f>IL18*2.08</f>
        <v/>
      </c>
      <c r="IY18" s="105" t="n"/>
      <c r="IZ18" s="109">
        <f>IG18</f>
        <v/>
      </c>
      <c r="JA18" s="132" t="inlineStr">
        <is>
          <t>cq/kokj</t>
        </is>
      </c>
      <c r="JB18" s="140" t="inlineStr">
        <is>
          <t>gjcjk</t>
        </is>
      </c>
      <c r="JC18" s="105">
        <f>JC17</f>
        <v/>
      </c>
      <c r="JD18" s="105">
        <f>JC18</f>
        <v/>
      </c>
      <c r="JE18" s="105">
        <f>L18</f>
        <v/>
      </c>
      <c r="JF18" s="105">
        <f>JE18*150</f>
        <v/>
      </c>
      <c r="JG18" s="105" t="n"/>
      <c r="JH18" s="105" t="n"/>
      <c r="JI18" s="105">
        <f>JE18*30</f>
        <v/>
      </c>
      <c r="JJ18" s="105">
        <f>JE18*0.25</f>
        <v/>
      </c>
      <c r="JK18" s="105">
        <f>JE18*0.4</f>
        <v/>
      </c>
      <c r="JL18" s="105">
        <f>JE18*2.5</f>
        <v/>
      </c>
      <c r="JM18" s="105">
        <f>JE18*7.5</f>
        <v/>
      </c>
      <c r="JN18" s="105">
        <f>JE18*4</f>
        <v/>
      </c>
      <c r="JO18" s="105">
        <f>JE18*3.11</f>
        <v/>
      </c>
      <c r="JP18" s="105" t="n"/>
      <c r="JQ18" s="105">
        <f>JE18*3.11</f>
        <v/>
      </c>
      <c r="JR18" s="105" t="n"/>
      <c r="JS18" s="103" t="n"/>
      <c r="JT18" s="59" t="n">
        <v>11</v>
      </c>
      <c r="JU18" s="57" t="n"/>
      <c r="JV18" s="58" t="n"/>
      <c r="JW18" s="58" t="n"/>
      <c r="JX18" s="58" t="n"/>
      <c r="JY18" s="58" t="n"/>
      <c r="JZ18" s="103" t="n"/>
      <c r="KA18" s="59" t="n">
        <v>11</v>
      </c>
      <c r="KB18" s="57" t="n"/>
      <c r="KC18" s="58" t="n"/>
      <c r="KD18" s="58" t="n"/>
      <c r="KE18" s="58" t="n"/>
      <c r="KF18" s="58" t="n"/>
      <c r="KG18" s="58" t="n"/>
      <c r="KH18" s="58" t="n"/>
      <c r="KI18" s="74" t="n"/>
      <c r="KJ18" s="72" t="n"/>
    </row>
    <row r="19" ht="35.1" customFormat="1" customHeight="1" s="14">
      <c r="A19" s="132" t="inlineStr">
        <is>
          <t>cq/kokj</t>
        </is>
      </c>
      <c r="B19" s="114" t="inlineStr">
        <is>
          <t>15/04/2026</t>
        </is>
      </c>
      <c r="C19" s="108" t="n">
        <v>0</v>
      </c>
      <c r="D19" s="108">
        <f>C19</f>
        <v/>
      </c>
      <c r="E19" s="108" t="n">
        <v>0</v>
      </c>
      <c r="F19" s="108" t="n">
        <v>0</v>
      </c>
      <c r="G19" s="108" t="n">
        <v>0</v>
      </c>
      <c r="H19" s="108">
        <f>G19+F19+E19</f>
        <v/>
      </c>
      <c r="I19" s="132" t="inlineStr">
        <is>
          <t>cq/kokj</t>
        </is>
      </c>
      <c r="J19" s="114" t="inlineStr">
        <is>
          <t>15/04/2026</t>
        </is>
      </c>
      <c r="K19" s="61">
        <f>D19</f>
        <v/>
      </c>
      <c r="L19" s="61">
        <f>H19</f>
        <v/>
      </c>
      <c r="M19" s="61">
        <f>SUM(K19:L19)</f>
        <v/>
      </c>
      <c r="N19" s="140" t="inlineStr">
        <is>
          <t>gjcjk</t>
        </is>
      </c>
      <c r="O19" s="89" t="n"/>
      <c r="Q19" s="3" t="n">
        <v>15</v>
      </c>
      <c r="R19" s="114" t="inlineStr">
        <is>
          <t>15/04/2026</t>
        </is>
      </c>
      <c r="S19" s="11">
        <f>Z18</f>
        <v/>
      </c>
      <c r="T19" s="10" t="n">
        <v>0</v>
      </c>
      <c r="U19" s="8">
        <f>S19+T19</f>
        <v/>
      </c>
      <c r="V19" s="61">
        <f>K19</f>
        <v/>
      </c>
      <c r="W19" s="8" t="n">
        <v>0.1</v>
      </c>
      <c r="X19" s="10">
        <f>V19*W19</f>
        <v/>
      </c>
      <c r="Y19" s="10">
        <f>U19-X19</f>
        <v/>
      </c>
      <c r="Z19" s="11">
        <f>Y19</f>
        <v/>
      </c>
      <c r="AA19" s="3" t="n">
        <v>15</v>
      </c>
      <c r="AB19" s="18">
        <f>R19</f>
        <v/>
      </c>
      <c r="AC19" s="8">
        <f>AJ18</f>
        <v/>
      </c>
      <c r="AD19" s="10" t="n">
        <v>0</v>
      </c>
      <c r="AE19" s="8">
        <f>AC19+AD19</f>
        <v/>
      </c>
      <c r="AF19" s="61">
        <f>L19</f>
        <v/>
      </c>
      <c r="AG19" s="8" t="n">
        <v>0.15</v>
      </c>
      <c r="AH19" s="12">
        <f>AG19*AF19</f>
        <v/>
      </c>
      <c r="AI19" s="10">
        <f>AE19-AH19</f>
        <v/>
      </c>
      <c r="AJ19" s="11">
        <f>AI19</f>
        <v/>
      </c>
      <c r="AK19" s="10">
        <f>Z19+AJ19</f>
        <v/>
      </c>
      <c r="AM19" s="3" t="n">
        <v>15</v>
      </c>
      <c r="AN19" s="18">
        <f>AB19</f>
        <v/>
      </c>
      <c r="AO19" s="8">
        <f>AV18</f>
        <v/>
      </c>
      <c r="AP19" s="10" t="n">
        <v>0</v>
      </c>
      <c r="AQ19" s="8">
        <f>AO19+AP19</f>
        <v/>
      </c>
      <c r="AR19" s="61" t="n">
        <v>0</v>
      </c>
      <c r="AS19" s="8" t="n">
        <v>0.02</v>
      </c>
      <c r="AT19" s="10">
        <f>AR19*AS19</f>
        <v/>
      </c>
      <c r="AU19" s="10">
        <f>AQ19-AT19</f>
        <v/>
      </c>
      <c r="AV19" s="11">
        <f>AU19</f>
        <v/>
      </c>
      <c r="AW19" s="3" t="n">
        <v>15</v>
      </c>
      <c r="AX19" s="18">
        <f>AN19</f>
        <v/>
      </c>
      <c r="AY19" s="8">
        <f>BF18</f>
        <v/>
      </c>
      <c r="AZ19" s="10" t="n">
        <v>0</v>
      </c>
      <c r="BA19" s="8">
        <f>AY19+AZ19</f>
        <v/>
      </c>
      <c r="BB19" s="61" t="n">
        <v>0</v>
      </c>
      <c r="BC19" s="8" t="n">
        <v>0.03</v>
      </c>
      <c r="BD19" s="12">
        <f>BC19*BB19</f>
        <v/>
      </c>
      <c r="BE19" s="10">
        <f>BA19-BD19</f>
        <v/>
      </c>
      <c r="BF19" s="11">
        <f>BE19</f>
        <v/>
      </c>
      <c r="BG19" s="10">
        <f>AV19+BF19</f>
        <v/>
      </c>
      <c r="BI19" s="3" t="n">
        <v>15</v>
      </c>
      <c r="BJ19" s="18">
        <f>AX19</f>
        <v/>
      </c>
      <c r="BK19" s="8">
        <f>BR18</f>
        <v/>
      </c>
      <c r="BL19" s="10" t="n">
        <v>0</v>
      </c>
      <c r="BM19" s="8">
        <f>BK19+BL19</f>
        <v/>
      </c>
      <c r="BN19" s="61" t="n">
        <v>0</v>
      </c>
      <c r="BO19" s="8" t="n">
        <v>0.02</v>
      </c>
      <c r="BP19" s="10">
        <f>BN19*BO19</f>
        <v/>
      </c>
      <c r="BQ19" s="10">
        <f>BM19-BP19</f>
        <v/>
      </c>
      <c r="BR19" s="11">
        <f>BQ19</f>
        <v/>
      </c>
      <c r="BS19" s="3" t="n">
        <v>15</v>
      </c>
      <c r="BT19" s="18">
        <f>BJ19</f>
        <v/>
      </c>
      <c r="BU19" s="8">
        <f>CB18</f>
        <v/>
      </c>
      <c r="BV19" s="10" t="n">
        <v>0</v>
      </c>
      <c r="BW19" s="8">
        <f>BU19+BV19</f>
        <v/>
      </c>
      <c r="BX19" s="61" t="n">
        <v>0</v>
      </c>
      <c r="BY19" s="8" t="n">
        <v>0.03</v>
      </c>
      <c r="BZ19" s="12">
        <f>BY19*BX19</f>
        <v/>
      </c>
      <c r="CA19" s="10">
        <f>BW19-BZ19</f>
        <v/>
      </c>
      <c r="CB19" s="11">
        <f>CA19</f>
        <v/>
      </c>
      <c r="CC19" s="10">
        <f>BR19+CB19</f>
        <v/>
      </c>
      <c r="CE19" s="3" t="n">
        <v>15</v>
      </c>
      <c r="CF19" s="18">
        <f>BT19</f>
        <v/>
      </c>
      <c r="CG19" s="8">
        <f>CN18</f>
        <v/>
      </c>
      <c r="CH19" s="10" t="n">
        <v>0</v>
      </c>
      <c r="CI19" s="8">
        <f>CG19+CH19</f>
        <v/>
      </c>
      <c r="CJ19" s="61">
        <f>K19</f>
        <v/>
      </c>
      <c r="CK19" s="8" t="n">
        <v>0.02</v>
      </c>
      <c r="CL19" s="10">
        <f>CJ19*CK19</f>
        <v/>
      </c>
      <c r="CM19" s="10">
        <f>CI19-CL19</f>
        <v/>
      </c>
      <c r="CN19" s="11">
        <f>CM19</f>
        <v/>
      </c>
      <c r="CO19" s="3" t="n">
        <v>15</v>
      </c>
      <c r="CP19" s="18">
        <f>CF19</f>
        <v/>
      </c>
      <c r="CQ19" s="8">
        <f>CX18</f>
        <v/>
      </c>
      <c r="CR19" s="10" t="n">
        <v>0</v>
      </c>
      <c r="CS19" s="8">
        <f>CQ19+CR19</f>
        <v/>
      </c>
      <c r="CT19" s="61">
        <f>L19</f>
        <v/>
      </c>
      <c r="CU19" s="8" t="n">
        <v>0.03</v>
      </c>
      <c r="CV19" s="12">
        <f>CU19*CT19</f>
        <v/>
      </c>
      <c r="CW19" s="10">
        <f>CS19-CV19</f>
        <v/>
      </c>
      <c r="CX19" s="11">
        <f>CW19</f>
        <v/>
      </c>
      <c r="CY19" s="10">
        <f>CN19+CX19</f>
        <v/>
      </c>
      <c r="DA19" s="3" t="n">
        <v>15</v>
      </c>
      <c r="DB19" s="18">
        <f>CP19</f>
        <v/>
      </c>
      <c r="DC19" s="8">
        <f>DJ18</f>
        <v/>
      </c>
      <c r="DD19" s="10" t="n">
        <v>0</v>
      </c>
      <c r="DE19" s="8">
        <f>DC19+DD19</f>
        <v/>
      </c>
      <c r="DF19" s="61">
        <f>K19</f>
        <v/>
      </c>
      <c r="DG19" s="106" t="n">
        <v>0.0001</v>
      </c>
      <c r="DH19" s="10">
        <f>DF19*DG19</f>
        <v/>
      </c>
      <c r="DI19" s="10">
        <f>DE19-DH19</f>
        <v/>
      </c>
      <c r="DJ19" s="11">
        <f>DI19</f>
        <v/>
      </c>
      <c r="DK19" s="3" t="n">
        <v>15</v>
      </c>
      <c r="DL19" s="18">
        <f>DB19</f>
        <v/>
      </c>
      <c r="DM19" s="8">
        <f>DT18</f>
        <v/>
      </c>
      <c r="DN19" s="10" t="n">
        <v>0</v>
      </c>
      <c r="DO19" s="8">
        <f>DM19+DN19</f>
        <v/>
      </c>
      <c r="DP19" s="61">
        <f>L19</f>
        <v/>
      </c>
      <c r="DQ19" s="106" t="n">
        <v>0.0003</v>
      </c>
      <c r="DR19" s="12">
        <f>DQ19*DP19</f>
        <v/>
      </c>
      <c r="DS19" s="10">
        <f>DO19-DR19</f>
        <v/>
      </c>
      <c r="DT19" s="11">
        <f>DS19</f>
        <v/>
      </c>
      <c r="DU19" s="10">
        <f>DJ19+DT19</f>
        <v/>
      </c>
      <c r="DW19" s="3" t="n">
        <v>15</v>
      </c>
      <c r="DX19" s="18">
        <f>DL19</f>
        <v/>
      </c>
      <c r="DY19" s="8">
        <f>EF18</f>
        <v/>
      </c>
      <c r="DZ19" s="10" t="n">
        <v>0</v>
      </c>
      <c r="EA19" s="8">
        <f>DY19+DZ19</f>
        <v/>
      </c>
      <c r="EB19" s="61">
        <f>K19</f>
        <v/>
      </c>
      <c r="EC19" s="106" t="n">
        <v>0.0002</v>
      </c>
      <c r="ED19" s="10">
        <f>EB19*EC19</f>
        <v/>
      </c>
      <c r="EE19" s="10">
        <f>EA19-ED19</f>
        <v/>
      </c>
      <c r="EF19" s="11">
        <f>EE19</f>
        <v/>
      </c>
      <c r="EG19" s="3" t="n">
        <v>15</v>
      </c>
      <c r="EH19" s="18">
        <f>DX19</f>
        <v/>
      </c>
      <c r="EI19" s="8">
        <f>EP18</f>
        <v/>
      </c>
      <c r="EJ19" s="10" t="n">
        <v>0</v>
      </c>
      <c r="EK19" s="8">
        <f>EI19+EJ19</f>
        <v/>
      </c>
      <c r="EL19" s="61">
        <f>L19</f>
        <v/>
      </c>
      <c r="EM19" s="106" t="n">
        <v>0.0005999999999999999</v>
      </c>
      <c r="EN19" s="12">
        <f>EM19*EL19</f>
        <v/>
      </c>
      <c r="EO19" s="10">
        <f>EK19-EN19</f>
        <v/>
      </c>
      <c r="EP19" s="11">
        <f>EO19</f>
        <v/>
      </c>
      <c r="EQ19" s="10">
        <f>EF19+EP19</f>
        <v/>
      </c>
      <c r="ES19" s="3" t="n">
        <v>15</v>
      </c>
      <c r="ET19" s="18">
        <f>EH19</f>
        <v/>
      </c>
      <c r="EU19" s="8">
        <f>FB18</f>
        <v/>
      </c>
      <c r="EV19" s="10" t="n">
        <v>0</v>
      </c>
      <c r="EW19" s="8">
        <f>EU19+EV19</f>
        <v/>
      </c>
      <c r="EX19" s="61">
        <f>K19</f>
        <v/>
      </c>
      <c r="EY19" s="107" t="n">
        <v>0.002</v>
      </c>
      <c r="EZ19" s="10">
        <f>EX19*EY19</f>
        <v/>
      </c>
      <c r="FA19" s="10">
        <f>EW19-EZ19</f>
        <v/>
      </c>
      <c r="FB19" s="11">
        <f>FA19</f>
        <v/>
      </c>
      <c r="FC19" s="3" t="n">
        <v>15</v>
      </c>
      <c r="FD19" s="18">
        <f>ET19</f>
        <v/>
      </c>
      <c r="FE19" s="8">
        <f>FL18</f>
        <v/>
      </c>
      <c r="FF19" s="10" t="n">
        <v>0</v>
      </c>
      <c r="FG19" s="8">
        <f>FE19+FF19</f>
        <v/>
      </c>
      <c r="FH19" s="61">
        <f>L19</f>
        <v/>
      </c>
      <c r="FI19" s="107" t="n">
        <v>0.0025</v>
      </c>
      <c r="FJ19" s="12">
        <f>FI19*FH19</f>
        <v/>
      </c>
      <c r="FK19" s="10">
        <f>FG19-FJ19</f>
        <v/>
      </c>
      <c r="FL19" s="11">
        <f>FK19</f>
        <v/>
      </c>
      <c r="FM19" s="10">
        <f>FB19+FL19</f>
        <v/>
      </c>
      <c r="FO19" s="3" t="n">
        <v>15</v>
      </c>
      <c r="FP19" s="18">
        <f>FD19</f>
        <v/>
      </c>
      <c r="FQ19" s="8">
        <f>FX18</f>
        <v/>
      </c>
      <c r="FR19" s="10" t="n">
        <v>0</v>
      </c>
      <c r="FS19" s="8">
        <f>FQ19+FR19</f>
        <v/>
      </c>
      <c r="FT19" s="61">
        <f>K19</f>
        <v/>
      </c>
      <c r="FU19" s="8" t="n">
        <v>0.002</v>
      </c>
      <c r="FV19" s="10">
        <f>FT19*FU19</f>
        <v/>
      </c>
      <c r="FW19" s="10">
        <f>FS19-FV19</f>
        <v/>
      </c>
      <c r="FX19" s="11">
        <f>FW19</f>
        <v/>
      </c>
      <c r="FY19" s="3" t="n">
        <v>15</v>
      </c>
      <c r="FZ19" s="18">
        <f>FP19</f>
        <v/>
      </c>
      <c r="GA19" s="8">
        <f>GH18</f>
        <v/>
      </c>
      <c r="GB19" s="10" t="n">
        <v>0</v>
      </c>
      <c r="GC19" s="8">
        <f>GA19+GB19</f>
        <v/>
      </c>
      <c r="GD19" s="61">
        <f>L19</f>
        <v/>
      </c>
      <c r="GE19" s="8" t="n">
        <v>0.005</v>
      </c>
      <c r="GF19" s="12">
        <f>GE19*GD19</f>
        <v/>
      </c>
      <c r="GG19" s="10">
        <f>GC19-GF19</f>
        <v/>
      </c>
      <c r="GH19" s="11">
        <f>GG19</f>
        <v/>
      </c>
      <c r="GI19" s="10">
        <f>FX19+GH19</f>
        <v/>
      </c>
      <c r="GK19" s="3" t="n">
        <v>15</v>
      </c>
      <c r="GL19" s="18">
        <f>FZ19</f>
        <v/>
      </c>
      <c r="GM19" s="8">
        <f>GT18</f>
        <v/>
      </c>
      <c r="GN19" s="10" t="n">
        <v>0</v>
      </c>
      <c r="GO19" s="8">
        <f>GM19+GN19</f>
        <v/>
      </c>
      <c r="GP19" s="61">
        <f>K19</f>
        <v/>
      </c>
      <c r="GQ19" s="8" t="n">
        <v>0.005</v>
      </c>
      <c r="GR19" s="10">
        <f>GP19*GQ19</f>
        <v/>
      </c>
      <c r="GS19" s="10">
        <f>GO19-GR19</f>
        <v/>
      </c>
      <c r="GT19" s="11">
        <f>GS19</f>
        <v/>
      </c>
      <c r="GU19" s="3" t="n">
        <v>15</v>
      </c>
      <c r="GV19" s="18">
        <f>GL19</f>
        <v/>
      </c>
      <c r="GW19" s="8">
        <f>HD18</f>
        <v/>
      </c>
      <c r="GX19" s="10" t="n">
        <v>0</v>
      </c>
      <c r="GY19" s="8">
        <f>GW19+GX19</f>
        <v/>
      </c>
      <c r="GZ19" s="61">
        <f>L19</f>
        <v/>
      </c>
      <c r="HA19" s="8" t="n">
        <v>0.0075</v>
      </c>
      <c r="HB19" s="12">
        <f>HA19*GZ19</f>
        <v/>
      </c>
      <c r="HC19" s="10">
        <f>GY19-HB19</f>
        <v/>
      </c>
      <c r="HD19" s="11">
        <f>HC19</f>
        <v/>
      </c>
      <c r="HE19" s="10">
        <f>GT19+HD19</f>
        <v/>
      </c>
      <c r="HG19" s="3" t="n">
        <v>15</v>
      </c>
      <c r="HH19" s="18">
        <f>GV19</f>
        <v/>
      </c>
      <c r="HI19" s="61">
        <f>K19</f>
        <v/>
      </c>
      <c r="HJ19" s="22" t="n">
        <v>1</v>
      </c>
      <c r="HK19" s="23">
        <f>HI19*HJ19</f>
        <v/>
      </c>
      <c r="HL19" s="61" t="n">
        <v>0.89</v>
      </c>
      <c r="HM19" s="23">
        <f>HI19*HL19</f>
        <v/>
      </c>
      <c r="HN19" s="22" t="n">
        <v>0.7</v>
      </c>
      <c r="HO19" s="22">
        <f>HN19*HI19</f>
        <v/>
      </c>
      <c r="HP19" s="22" t="n">
        <v>2.59</v>
      </c>
      <c r="HQ19" s="9">
        <f>HI19*HP19</f>
        <v/>
      </c>
      <c r="HR19" s="3" t="n">
        <v>15</v>
      </c>
      <c r="HS19" s="15" t="inlineStr">
        <is>
          <t>15/7/2023</t>
        </is>
      </c>
      <c r="HT19" s="61">
        <f>L19</f>
        <v/>
      </c>
      <c r="HU19" s="22" t="n">
        <v>1.64</v>
      </c>
      <c r="HV19" s="23">
        <f>HT19*HU19</f>
        <v/>
      </c>
      <c r="HW19" s="61" t="n">
        <v>1.14</v>
      </c>
      <c r="HX19" s="23">
        <f>HT19*HW19</f>
        <v/>
      </c>
      <c r="HY19" s="22" t="n">
        <v>1.1</v>
      </c>
      <c r="HZ19" s="22">
        <f>HY19*HT19</f>
        <v/>
      </c>
      <c r="IA19" s="22" t="n">
        <v>3.11</v>
      </c>
      <c r="IB19" s="9">
        <f>HT19*IA19</f>
        <v/>
      </c>
      <c r="IC19" s="9">
        <f>HK19+HV19</f>
        <v/>
      </c>
      <c r="ID19" s="9">
        <f>HM19+HX19</f>
        <v/>
      </c>
      <c r="IE19" s="9">
        <f>HO19+HZ19</f>
        <v/>
      </c>
      <c r="IF19" s="52" t="n"/>
      <c r="IG19" s="109">
        <f>HH19</f>
        <v/>
      </c>
      <c r="IH19" s="132" t="inlineStr">
        <is>
          <t>xq:okj</t>
        </is>
      </c>
      <c r="II19" s="140" t="inlineStr">
        <is>
          <t>elqj nkG</t>
        </is>
      </c>
      <c r="IJ19" s="105">
        <f>IJ18</f>
        <v/>
      </c>
      <c r="IK19" s="105">
        <f>IJ19</f>
        <v/>
      </c>
      <c r="IL19" s="105">
        <f>K19</f>
        <v/>
      </c>
      <c r="IM19" s="105">
        <f>IL19*100</f>
        <v/>
      </c>
      <c r="IN19" s="105">
        <f>IL19*20</f>
        <v/>
      </c>
      <c r="IO19" s="105" t="n"/>
      <c r="IP19" s="105" t="n"/>
      <c r="IQ19" s="105">
        <f>IL19*0.3</f>
        <v/>
      </c>
      <c r="IR19" s="105">
        <f>IL19*0.4</f>
        <v/>
      </c>
      <c r="IS19" s="105">
        <f>IL19*1.5</f>
        <v/>
      </c>
      <c r="IT19" s="105">
        <f>IL19*5</f>
        <v/>
      </c>
      <c r="IU19" s="105">
        <f>IL19*2</f>
        <v/>
      </c>
      <c r="IV19" s="105">
        <f>IL19*2.08</f>
        <v/>
      </c>
      <c r="IW19" s="13" t="n"/>
      <c r="IX19" s="105">
        <f>IL19*2.08</f>
        <v/>
      </c>
      <c r="IY19" s="13" t="n"/>
      <c r="IZ19" s="109">
        <f>IG19</f>
        <v/>
      </c>
      <c r="JA19" s="132" t="inlineStr">
        <is>
          <t>xq:okj</t>
        </is>
      </c>
      <c r="JB19" s="140" t="inlineStr">
        <is>
          <t>elqj nkG</t>
        </is>
      </c>
      <c r="JC19" s="105">
        <f>JC18</f>
        <v/>
      </c>
      <c r="JD19" s="105">
        <f>JC19</f>
        <v/>
      </c>
      <c r="JE19" s="105">
        <f>L19</f>
        <v/>
      </c>
      <c r="JF19" s="105">
        <f>JE19*150</f>
        <v/>
      </c>
      <c r="JG19" s="105">
        <f>JE19*30</f>
        <v/>
      </c>
      <c r="JH19" s="105" t="n"/>
      <c r="JI19" s="105" t="n"/>
      <c r="JJ19" s="105">
        <f>JE19*0.25</f>
        <v/>
      </c>
      <c r="JK19" s="105">
        <f>JE19*0.4</f>
        <v/>
      </c>
      <c r="JL19" s="105">
        <f>JE19*2.5</f>
        <v/>
      </c>
      <c r="JM19" s="105">
        <f>JE19*7.5</f>
        <v/>
      </c>
      <c r="JN19" s="105">
        <f>JE19*4</f>
        <v/>
      </c>
      <c r="JO19" s="105">
        <f>JE19*3.11</f>
        <v/>
      </c>
      <c r="JP19" s="13" t="n"/>
      <c r="JQ19" s="105">
        <f>JE19*3.11</f>
        <v/>
      </c>
      <c r="JR19" s="13" t="n"/>
      <c r="JS19" s="52" t="n"/>
      <c r="JT19" s="59" t="n">
        <v>12</v>
      </c>
      <c r="JU19" s="57" t="n"/>
      <c r="JV19" s="58" t="n"/>
      <c r="JW19" s="58" t="n"/>
      <c r="JX19" s="58" t="n"/>
      <c r="JY19" s="58" t="n"/>
      <c r="JZ19" s="52" t="n"/>
      <c r="KA19" s="59" t="n">
        <v>12</v>
      </c>
      <c r="KB19" s="57" t="n"/>
      <c r="KC19" s="58" t="n"/>
      <c r="KD19" s="58" t="n"/>
      <c r="KE19" s="58" t="n"/>
      <c r="KF19" s="58" t="n"/>
      <c r="KG19" s="58" t="n"/>
      <c r="KH19" s="58" t="n"/>
      <c r="KI19" s="74" t="n"/>
      <c r="KJ19" s="49" t="n"/>
    </row>
    <row r="20" ht="35.1" customFormat="1" customHeight="1" s="14">
      <c r="A20" s="132" t="inlineStr">
        <is>
          <t>xq:okj</t>
        </is>
      </c>
      <c r="B20" s="114" t="inlineStr">
        <is>
          <t>16/04/2026</t>
        </is>
      </c>
      <c r="C20" s="108" t="n">
        <v>0</v>
      </c>
      <c r="D20" s="108">
        <f>C20</f>
        <v/>
      </c>
      <c r="E20" s="108" t="n">
        <v>0</v>
      </c>
      <c r="F20" s="108" t="n">
        <v>0</v>
      </c>
      <c r="G20" s="108" t="n">
        <v>0</v>
      </c>
      <c r="H20" s="108">
        <f>G20+F20+E20</f>
        <v/>
      </c>
      <c r="I20" s="132" t="inlineStr">
        <is>
          <t>xq:okj</t>
        </is>
      </c>
      <c r="J20" s="114" t="inlineStr">
        <is>
          <t>16/04/2026</t>
        </is>
      </c>
      <c r="K20" s="61">
        <f>D20</f>
        <v/>
      </c>
      <c r="L20" s="61">
        <f>H20</f>
        <v/>
      </c>
      <c r="M20" s="61">
        <f>SUM(K20:L20)</f>
        <v/>
      </c>
      <c r="N20" s="140" t="inlineStr">
        <is>
          <t>elqj nkG</t>
        </is>
      </c>
      <c r="O20" s="89" t="n"/>
      <c r="Q20" s="3" t="n">
        <v>16</v>
      </c>
      <c r="R20" s="114" t="inlineStr">
        <is>
          <t>16/04/2026</t>
        </is>
      </c>
      <c r="S20" s="11">
        <f>Z19</f>
        <v/>
      </c>
      <c r="T20" s="10" t="n">
        <v>0</v>
      </c>
      <c r="U20" s="8">
        <f>S20+T20</f>
        <v/>
      </c>
      <c r="V20" s="61">
        <f>K20</f>
        <v/>
      </c>
      <c r="W20" s="8" t="n">
        <v>0.1</v>
      </c>
      <c r="X20" s="10">
        <f>V20*W20</f>
        <v/>
      </c>
      <c r="Y20" s="10">
        <f>U20-X20</f>
        <v/>
      </c>
      <c r="Z20" s="11">
        <f>Y20</f>
        <v/>
      </c>
      <c r="AA20" s="3" t="n">
        <v>16</v>
      </c>
      <c r="AB20" s="18">
        <f>R20</f>
        <v/>
      </c>
      <c r="AC20" s="8">
        <f>AJ19</f>
        <v/>
      </c>
      <c r="AD20" s="10" t="n">
        <v>0</v>
      </c>
      <c r="AE20" s="8">
        <f>AC20+AD20</f>
        <v/>
      </c>
      <c r="AF20" s="61">
        <f>L20</f>
        <v/>
      </c>
      <c r="AG20" s="8" t="n">
        <v>0.15</v>
      </c>
      <c r="AH20" s="12">
        <f>AG20*AF20</f>
        <v/>
      </c>
      <c r="AI20" s="10">
        <f>AE20-AH20</f>
        <v/>
      </c>
      <c r="AJ20" s="11">
        <f>AI20</f>
        <v/>
      </c>
      <c r="AK20" s="10">
        <f>Z20+AJ20</f>
        <v/>
      </c>
      <c r="AM20" s="3" t="n">
        <v>16</v>
      </c>
      <c r="AN20" s="18">
        <f>AB20</f>
        <v/>
      </c>
      <c r="AO20" s="8">
        <f>AV19</f>
        <v/>
      </c>
      <c r="AP20" s="10" t="n">
        <v>0</v>
      </c>
      <c r="AQ20" s="8">
        <f>AO20+AP20</f>
        <v/>
      </c>
      <c r="AR20" s="61" t="n">
        <v>0</v>
      </c>
      <c r="AS20" s="8" t="n">
        <v>0.02</v>
      </c>
      <c r="AT20" s="10">
        <f>AR20*AS20</f>
        <v/>
      </c>
      <c r="AU20" s="10">
        <f>AQ20-AT20</f>
        <v/>
      </c>
      <c r="AV20" s="11">
        <f>AU20</f>
        <v/>
      </c>
      <c r="AW20" s="3" t="n">
        <v>16</v>
      </c>
      <c r="AX20" s="18">
        <f>AN20</f>
        <v/>
      </c>
      <c r="AY20" s="8">
        <f>BF19</f>
        <v/>
      </c>
      <c r="AZ20" s="10" t="n">
        <v>0</v>
      </c>
      <c r="BA20" s="8">
        <f>AY20+AZ20</f>
        <v/>
      </c>
      <c r="BB20" s="61" t="n">
        <v>0</v>
      </c>
      <c r="BC20" s="8" t="n">
        <v>0.03</v>
      </c>
      <c r="BD20" s="12">
        <f>BC20*BB20</f>
        <v/>
      </c>
      <c r="BE20" s="10">
        <f>BA20-BD20</f>
        <v/>
      </c>
      <c r="BF20" s="11">
        <f>BE20</f>
        <v/>
      </c>
      <c r="BG20" s="10">
        <f>AV20+BF20</f>
        <v/>
      </c>
      <c r="BI20" s="3" t="n">
        <v>16</v>
      </c>
      <c r="BJ20" s="18">
        <f>AX20</f>
        <v/>
      </c>
      <c r="BK20" s="8">
        <f>BR19</f>
        <v/>
      </c>
      <c r="BL20" s="10" t="n">
        <v>0</v>
      </c>
      <c r="BM20" s="8">
        <f>BK20+BL20</f>
        <v/>
      </c>
      <c r="BN20" s="61">
        <f>K20</f>
        <v/>
      </c>
      <c r="BO20" s="8" t="n">
        <v>0.02</v>
      </c>
      <c r="BP20" s="10">
        <f>BN20*BO20</f>
        <v/>
      </c>
      <c r="BQ20" s="10">
        <f>BM20-BP20</f>
        <v/>
      </c>
      <c r="BR20" s="11">
        <f>BQ20</f>
        <v/>
      </c>
      <c r="BS20" s="3" t="n">
        <v>16</v>
      </c>
      <c r="BT20" s="18">
        <f>BJ20</f>
        <v/>
      </c>
      <c r="BU20" s="8">
        <f>CB19</f>
        <v/>
      </c>
      <c r="BV20" s="10" t="n">
        <v>0</v>
      </c>
      <c r="BW20" s="8">
        <f>BU20+BV20</f>
        <v/>
      </c>
      <c r="BX20" s="61">
        <f>L20</f>
        <v/>
      </c>
      <c r="BY20" s="8" t="n">
        <v>0.03</v>
      </c>
      <c r="BZ20" s="12">
        <f>BY20*BX20</f>
        <v/>
      </c>
      <c r="CA20" s="10">
        <f>BW20-BZ20</f>
        <v/>
      </c>
      <c r="CB20" s="11">
        <f>CA20</f>
        <v/>
      </c>
      <c r="CC20" s="10">
        <f>BR20+CB20</f>
        <v/>
      </c>
      <c r="CE20" s="3" t="n">
        <v>16</v>
      </c>
      <c r="CF20" s="18">
        <f>BT20</f>
        <v/>
      </c>
      <c r="CG20" s="8">
        <f>CN19</f>
        <v/>
      </c>
      <c r="CH20" s="10" t="n">
        <v>0</v>
      </c>
      <c r="CI20" s="8">
        <f>CG20+CH20</f>
        <v/>
      </c>
      <c r="CJ20" s="61" t="n">
        <v>0</v>
      </c>
      <c r="CK20" s="8" t="n">
        <v>0.02</v>
      </c>
      <c r="CL20" s="10">
        <f>CJ20*CK20</f>
        <v/>
      </c>
      <c r="CM20" s="10">
        <f>CI20-CL20</f>
        <v/>
      </c>
      <c r="CN20" s="11">
        <f>CM20</f>
        <v/>
      </c>
      <c r="CO20" s="3" t="n">
        <v>16</v>
      </c>
      <c r="CP20" s="18">
        <f>CF20</f>
        <v/>
      </c>
      <c r="CQ20" s="8">
        <f>CX19</f>
        <v/>
      </c>
      <c r="CR20" s="10" t="n">
        <v>0</v>
      </c>
      <c r="CS20" s="8">
        <f>CQ20+CR20</f>
        <v/>
      </c>
      <c r="CT20" s="61" t="n">
        <v>0</v>
      </c>
      <c r="CU20" s="8" t="n">
        <v>0.03</v>
      </c>
      <c r="CV20" s="12">
        <f>CU20*CT20</f>
        <v/>
      </c>
      <c r="CW20" s="10">
        <f>CS20-CV20</f>
        <v/>
      </c>
      <c r="CX20" s="11">
        <f>CW20</f>
        <v/>
      </c>
      <c r="CY20" s="10">
        <f>CN20+CX20</f>
        <v/>
      </c>
      <c r="DA20" s="3" t="n">
        <v>16</v>
      </c>
      <c r="DB20" s="18">
        <f>CP20</f>
        <v/>
      </c>
      <c r="DC20" s="8">
        <f>DJ19</f>
        <v/>
      </c>
      <c r="DD20" s="10" t="n">
        <v>0</v>
      </c>
      <c r="DE20" s="8">
        <f>DC20+DD20</f>
        <v/>
      </c>
      <c r="DF20" s="61">
        <f>K20</f>
        <v/>
      </c>
      <c r="DG20" s="106" t="n">
        <v>0.0001</v>
      </c>
      <c r="DH20" s="10">
        <f>DF20*DG20</f>
        <v/>
      </c>
      <c r="DI20" s="10">
        <f>DE20-DH20</f>
        <v/>
      </c>
      <c r="DJ20" s="11">
        <f>DI20</f>
        <v/>
      </c>
      <c r="DK20" s="3" t="n">
        <v>16</v>
      </c>
      <c r="DL20" s="18">
        <f>DB20</f>
        <v/>
      </c>
      <c r="DM20" s="8">
        <f>DT19</f>
        <v/>
      </c>
      <c r="DN20" s="10" t="n">
        <v>0</v>
      </c>
      <c r="DO20" s="8">
        <f>DM20+DN20</f>
        <v/>
      </c>
      <c r="DP20" s="61">
        <f>L20</f>
        <v/>
      </c>
      <c r="DQ20" s="106" t="n">
        <v>0.0003</v>
      </c>
      <c r="DR20" s="12">
        <f>DQ20*DP20</f>
        <v/>
      </c>
      <c r="DS20" s="10">
        <f>DO20-DR20</f>
        <v/>
      </c>
      <c r="DT20" s="11">
        <f>DS20</f>
        <v/>
      </c>
      <c r="DU20" s="10">
        <f>DJ20+DT20</f>
        <v/>
      </c>
      <c r="DW20" s="3" t="n">
        <v>16</v>
      </c>
      <c r="DX20" s="18">
        <f>DL20</f>
        <v/>
      </c>
      <c r="DY20" s="8">
        <f>EF19</f>
        <v/>
      </c>
      <c r="DZ20" s="10" t="n">
        <v>0</v>
      </c>
      <c r="EA20" s="8">
        <f>DY20+DZ20</f>
        <v/>
      </c>
      <c r="EB20" s="61">
        <f>K20</f>
        <v/>
      </c>
      <c r="EC20" s="106" t="n">
        <v>0.0002</v>
      </c>
      <c r="ED20" s="10">
        <f>EB20*EC20</f>
        <v/>
      </c>
      <c r="EE20" s="10">
        <f>EA20-ED20</f>
        <v/>
      </c>
      <c r="EF20" s="11">
        <f>EE20</f>
        <v/>
      </c>
      <c r="EG20" s="3" t="n">
        <v>16</v>
      </c>
      <c r="EH20" s="18">
        <f>DX20</f>
        <v/>
      </c>
      <c r="EI20" s="8">
        <f>EP19</f>
        <v/>
      </c>
      <c r="EJ20" s="10" t="n">
        <v>0</v>
      </c>
      <c r="EK20" s="8">
        <f>EI20+EJ20</f>
        <v/>
      </c>
      <c r="EL20" s="61">
        <f>L20</f>
        <v/>
      </c>
      <c r="EM20" s="106" t="n">
        <v>0.0005999999999999999</v>
      </c>
      <c r="EN20" s="12">
        <f>EM20*EL20</f>
        <v/>
      </c>
      <c r="EO20" s="10">
        <f>EK20-EN20</f>
        <v/>
      </c>
      <c r="EP20" s="11">
        <f>EO20</f>
        <v/>
      </c>
      <c r="EQ20" s="10">
        <f>EF20+EP20</f>
        <v/>
      </c>
      <c r="ES20" s="3" t="n">
        <v>16</v>
      </c>
      <c r="ET20" s="18">
        <f>EH20</f>
        <v/>
      </c>
      <c r="EU20" s="8">
        <f>FB19</f>
        <v/>
      </c>
      <c r="EV20" s="10" t="n">
        <v>0</v>
      </c>
      <c r="EW20" s="8">
        <f>EU20+EV20</f>
        <v/>
      </c>
      <c r="EX20" s="61">
        <f>K20</f>
        <v/>
      </c>
      <c r="EY20" s="107" t="n">
        <v>0.002</v>
      </c>
      <c r="EZ20" s="10">
        <f>EX20*EY20</f>
        <v/>
      </c>
      <c r="FA20" s="10">
        <f>EW20-EZ20</f>
        <v/>
      </c>
      <c r="FB20" s="11">
        <f>FA20</f>
        <v/>
      </c>
      <c r="FC20" s="3" t="n">
        <v>16</v>
      </c>
      <c r="FD20" s="18">
        <f>ET20</f>
        <v/>
      </c>
      <c r="FE20" s="8">
        <f>FL19</f>
        <v/>
      </c>
      <c r="FF20" s="10" t="n">
        <v>0</v>
      </c>
      <c r="FG20" s="8">
        <f>FE20+FF20</f>
        <v/>
      </c>
      <c r="FH20" s="61">
        <f>L20</f>
        <v/>
      </c>
      <c r="FI20" s="107" t="n">
        <v>0.0025</v>
      </c>
      <c r="FJ20" s="12">
        <f>FI20*FH20</f>
        <v/>
      </c>
      <c r="FK20" s="10">
        <f>FG20-FJ20</f>
        <v/>
      </c>
      <c r="FL20" s="11">
        <f>FK20</f>
        <v/>
      </c>
      <c r="FM20" s="10">
        <f>FB20+FL20</f>
        <v/>
      </c>
      <c r="FO20" s="3" t="n">
        <v>16</v>
      </c>
      <c r="FP20" s="18">
        <f>FD20</f>
        <v/>
      </c>
      <c r="FQ20" s="8">
        <f>FX19</f>
        <v/>
      </c>
      <c r="FR20" s="10" t="n">
        <v>0</v>
      </c>
      <c r="FS20" s="8">
        <f>FQ20+FR20</f>
        <v/>
      </c>
      <c r="FT20" s="61">
        <f>K20</f>
        <v/>
      </c>
      <c r="FU20" s="8" t="n">
        <v>0.002</v>
      </c>
      <c r="FV20" s="10">
        <f>FT20*FU20</f>
        <v/>
      </c>
      <c r="FW20" s="10">
        <f>FS20-FV20</f>
        <v/>
      </c>
      <c r="FX20" s="11">
        <f>FW20</f>
        <v/>
      </c>
      <c r="FY20" s="3" t="n">
        <v>16</v>
      </c>
      <c r="FZ20" s="18">
        <f>FP20</f>
        <v/>
      </c>
      <c r="GA20" s="8">
        <f>GH19</f>
        <v/>
      </c>
      <c r="GB20" s="10" t="n">
        <v>0</v>
      </c>
      <c r="GC20" s="8">
        <f>GA20+GB20</f>
        <v/>
      </c>
      <c r="GD20" s="61">
        <f>L20</f>
        <v/>
      </c>
      <c r="GE20" s="8" t="n">
        <v>0.005</v>
      </c>
      <c r="GF20" s="12">
        <f>GE20*GD20</f>
        <v/>
      </c>
      <c r="GG20" s="10">
        <f>GC20-GF20</f>
        <v/>
      </c>
      <c r="GH20" s="11">
        <f>GG20</f>
        <v/>
      </c>
      <c r="GI20" s="10">
        <f>FX20+GH20</f>
        <v/>
      </c>
      <c r="GK20" s="3" t="n">
        <v>16</v>
      </c>
      <c r="GL20" s="18">
        <f>FZ20</f>
        <v/>
      </c>
      <c r="GM20" s="8">
        <f>GT19</f>
        <v/>
      </c>
      <c r="GN20" s="10" t="n">
        <v>0</v>
      </c>
      <c r="GO20" s="8">
        <f>GM20+GN20</f>
        <v/>
      </c>
      <c r="GP20" s="61">
        <f>K20</f>
        <v/>
      </c>
      <c r="GQ20" s="8" t="n">
        <v>0.005</v>
      </c>
      <c r="GR20" s="10">
        <f>GP20*GQ20</f>
        <v/>
      </c>
      <c r="GS20" s="10">
        <f>GO20-GR20</f>
        <v/>
      </c>
      <c r="GT20" s="11">
        <f>GS20</f>
        <v/>
      </c>
      <c r="GU20" s="3" t="n">
        <v>16</v>
      </c>
      <c r="GV20" s="18">
        <f>GL20</f>
        <v/>
      </c>
      <c r="GW20" s="8">
        <f>HD19</f>
        <v/>
      </c>
      <c r="GX20" s="10" t="n">
        <v>0</v>
      </c>
      <c r="GY20" s="8">
        <f>GW20+GX20</f>
        <v/>
      </c>
      <c r="GZ20" s="61">
        <f>L20</f>
        <v/>
      </c>
      <c r="HA20" s="8" t="n">
        <v>0.0075</v>
      </c>
      <c r="HB20" s="12">
        <f>HA20*GZ20</f>
        <v/>
      </c>
      <c r="HC20" s="10">
        <f>GY20-HB20</f>
        <v/>
      </c>
      <c r="HD20" s="11">
        <f>HC20</f>
        <v/>
      </c>
      <c r="HE20" s="10">
        <f>GT20+HD20</f>
        <v/>
      </c>
      <c r="HG20" s="3" t="n">
        <v>16</v>
      </c>
      <c r="HH20" s="18">
        <f>GV20</f>
        <v/>
      </c>
      <c r="HI20" s="61">
        <f>K20</f>
        <v/>
      </c>
      <c r="HJ20" s="22" t="n">
        <v>1</v>
      </c>
      <c r="HK20" s="23">
        <f>HI20*HJ20</f>
        <v/>
      </c>
      <c r="HL20" s="61" t="n">
        <v>0.89</v>
      </c>
      <c r="HM20" s="23">
        <f>HI20*HL20</f>
        <v/>
      </c>
      <c r="HN20" s="22" t="n">
        <v>0.7</v>
      </c>
      <c r="HO20" s="22">
        <f>HN20*HI20</f>
        <v/>
      </c>
      <c r="HP20" s="22" t="n">
        <v>2.59</v>
      </c>
      <c r="HQ20" s="9">
        <f>HI20*HP20</f>
        <v/>
      </c>
      <c r="HR20" s="3" t="n">
        <v>16</v>
      </c>
      <c r="HS20" s="15" t="inlineStr">
        <is>
          <t>16/7/2023</t>
        </is>
      </c>
      <c r="HT20" s="61">
        <f>L20</f>
        <v/>
      </c>
      <c r="HU20" s="22" t="n">
        <v>1.64</v>
      </c>
      <c r="HV20" s="23">
        <f>HT20*HU20</f>
        <v/>
      </c>
      <c r="HW20" s="61" t="n">
        <v>1.14</v>
      </c>
      <c r="HX20" s="23">
        <f>HT20*HW20</f>
        <v/>
      </c>
      <c r="HY20" s="22" t="n">
        <v>1.1</v>
      </c>
      <c r="HZ20" s="22">
        <f>HY20*HT20</f>
        <v/>
      </c>
      <c r="IA20" s="22" t="n">
        <v>3.11</v>
      </c>
      <c r="IB20" s="9">
        <f>HT20*IA20</f>
        <v/>
      </c>
      <c r="IC20" s="9">
        <f>HK20+HV20</f>
        <v/>
      </c>
      <c r="ID20" s="9">
        <f>HM20+HX20</f>
        <v/>
      </c>
      <c r="IE20" s="9">
        <f>HO20+HZ20</f>
        <v/>
      </c>
      <c r="IF20" s="52" t="n"/>
      <c r="IG20" s="109">
        <f>HH20</f>
        <v/>
      </c>
      <c r="IH20" s="132" t="inlineStr">
        <is>
          <t xml:space="preserve"> 'kqdzokj</t>
        </is>
      </c>
      <c r="II20" s="140" t="inlineStr">
        <is>
          <t>okVk.kk</t>
        </is>
      </c>
      <c r="IJ20" s="105">
        <f>IJ19</f>
        <v/>
      </c>
      <c r="IK20" s="105">
        <f>IJ20</f>
        <v/>
      </c>
      <c r="IL20" s="105">
        <f>K20</f>
        <v/>
      </c>
      <c r="IM20" s="105">
        <f>IL20*100</f>
        <v/>
      </c>
      <c r="IN20" s="105" t="n"/>
      <c r="IO20" s="105">
        <f>IL20*20</f>
        <v/>
      </c>
      <c r="IP20" s="105" t="n"/>
      <c r="IQ20" s="105">
        <f>IL20*0.3</f>
        <v/>
      </c>
      <c r="IR20" s="105">
        <f>IL20*0.4</f>
        <v/>
      </c>
      <c r="IS20" s="105">
        <f>IL20*1.5</f>
        <v/>
      </c>
      <c r="IT20" s="105">
        <f>IL20*5</f>
        <v/>
      </c>
      <c r="IU20" s="105">
        <f>IL20*2</f>
        <v/>
      </c>
      <c r="IV20" s="105">
        <f>IL20*2.08</f>
        <v/>
      </c>
      <c r="IW20" s="13" t="n"/>
      <c r="IX20" s="105">
        <f>IL20*2.08</f>
        <v/>
      </c>
      <c r="IY20" s="13" t="n"/>
      <c r="IZ20" s="109">
        <f>IG20</f>
        <v/>
      </c>
      <c r="JA20" s="132" t="inlineStr">
        <is>
          <t xml:space="preserve"> 'kqdzokj</t>
        </is>
      </c>
      <c r="JB20" s="140" t="inlineStr">
        <is>
          <t>okVk.kk</t>
        </is>
      </c>
      <c r="JC20" s="105">
        <f>JC19</f>
        <v/>
      </c>
      <c r="JD20" s="105">
        <f>JC20</f>
        <v/>
      </c>
      <c r="JE20" s="105">
        <f>L20</f>
        <v/>
      </c>
      <c r="JF20" s="105">
        <f>JE20*150</f>
        <v/>
      </c>
      <c r="JG20" s="105" t="n"/>
      <c r="JH20" s="105">
        <f>JE20*30</f>
        <v/>
      </c>
      <c r="JI20" s="105" t="n"/>
      <c r="JJ20" s="105">
        <f>JE20*0.25</f>
        <v/>
      </c>
      <c r="JK20" s="105">
        <f>JE20*0.4</f>
        <v/>
      </c>
      <c r="JL20" s="105">
        <f>JE20*2.5</f>
        <v/>
      </c>
      <c r="JM20" s="105">
        <f>JE20*7.5</f>
        <v/>
      </c>
      <c r="JN20" s="105">
        <f>JE20*4</f>
        <v/>
      </c>
      <c r="JO20" s="105">
        <f>JE20*3.11</f>
        <v/>
      </c>
      <c r="JP20" s="13" t="n"/>
      <c r="JQ20" s="105">
        <f>JE20*3.11</f>
        <v/>
      </c>
      <c r="JR20" s="13" t="n"/>
      <c r="JS20" s="52" t="n"/>
      <c r="JT20" s="59" t="n"/>
      <c r="JU20" s="57" t="n"/>
      <c r="JV20" s="58" t="n"/>
      <c r="JW20" s="58" t="n"/>
      <c r="JX20" s="58" t="n"/>
      <c r="JY20" s="58" t="n"/>
      <c r="JZ20" s="52" t="n"/>
      <c r="KA20" s="59" t="n"/>
      <c r="KB20" s="57" t="n"/>
      <c r="KC20" s="58" t="n"/>
      <c r="KD20" s="58" t="n"/>
      <c r="KE20" s="58" t="n"/>
      <c r="KF20" s="58" t="n"/>
      <c r="KG20" s="58" t="n"/>
      <c r="KH20" s="58" t="n"/>
      <c r="KI20" s="74" t="n"/>
      <c r="KJ20" s="49" t="n"/>
    </row>
    <row r="21" ht="35.1" customFormat="1" customHeight="1" s="14">
      <c r="A21" s="132" t="inlineStr">
        <is>
          <t xml:space="preserve"> 'kqdzokj</t>
        </is>
      </c>
      <c r="B21" s="114" t="inlineStr">
        <is>
          <t>17/04/2026</t>
        </is>
      </c>
      <c r="C21" s="108" t="n">
        <v>0</v>
      </c>
      <c r="D21" s="108">
        <f>C21</f>
        <v/>
      </c>
      <c r="E21" s="108" t="n">
        <v>0</v>
      </c>
      <c r="F21" s="108" t="n">
        <v>0</v>
      </c>
      <c r="G21" s="108" t="n">
        <v>0</v>
      </c>
      <c r="H21" s="108">
        <f>G21+F21+E21</f>
        <v/>
      </c>
      <c r="I21" s="132" t="inlineStr">
        <is>
          <t xml:space="preserve"> 'kqdzokj</t>
        </is>
      </c>
      <c r="J21" s="114" t="inlineStr">
        <is>
          <t>17/04/2026</t>
        </is>
      </c>
      <c r="K21" s="61">
        <f>D21</f>
        <v/>
      </c>
      <c r="L21" s="61">
        <f>H21</f>
        <v/>
      </c>
      <c r="M21" s="61">
        <f>SUM(K21:L21)</f>
        <v/>
      </c>
      <c r="N21" s="140" t="inlineStr">
        <is>
          <t>poGh</t>
        </is>
      </c>
      <c r="O21" s="89" t="n"/>
      <c r="Q21" s="3" t="n">
        <v>17</v>
      </c>
      <c r="R21" s="114" t="inlineStr">
        <is>
          <t>17/04/2026</t>
        </is>
      </c>
      <c r="S21" s="11">
        <f>Z20</f>
        <v/>
      </c>
      <c r="T21" s="10" t="n">
        <v>0</v>
      </c>
      <c r="U21" s="8">
        <f>S21+T21</f>
        <v/>
      </c>
      <c r="V21" s="61">
        <f>K21</f>
        <v/>
      </c>
      <c r="W21" s="8" t="n">
        <v>0.1</v>
      </c>
      <c r="X21" s="10">
        <f>V21*W21</f>
        <v/>
      </c>
      <c r="Y21" s="10">
        <f>U21-X21</f>
        <v/>
      </c>
      <c r="Z21" s="11">
        <f>Y21</f>
        <v/>
      </c>
      <c r="AA21" s="3" t="n">
        <v>17</v>
      </c>
      <c r="AB21" s="18">
        <f>R21</f>
        <v/>
      </c>
      <c r="AC21" s="8">
        <f>AJ20</f>
        <v/>
      </c>
      <c r="AD21" s="10" t="n">
        <v>0</v>
      </c>
      <c r="AE21" s="8">
        <f>AC21+AD21</f>
        <v/>
      </c>
      <c r="AF21" s="61">
        <f>L21</f>
        <v/>
      </c>
      <c r="AG21" s="8" t="n">
        <v>0.15</v>
      </c>
      <c r="AH21" s="12">
        <f>AG21*AF21</f>
        <v/>
      </c>
      <c r="AI21" s="10">
        <f>AE21-AH21</f>
        <v/>
      </c>
      <c r="AJ21" s="11">
        <f>AI21</f>
        <v/>
      </c>
      <c r="AK21" s="10">
        <f>Z21+AJ21</f>
        <v/>
      </c>
      <c r="AM21" s="3" t="n">
        <v>17</v>
      </c>
      <c r="AN21" s="18">
        <f>AB21</f>
        <v/>
      </c>
      <c r="AO21" s="8">
        <f>AV20</f>
        <v/>
      </c>
      <c r="AP21" s="10" t="n">
        <v>0</v>
      </c>
      <c r="AQ21" s="8">
        <f>AO21+AP21</f>
        <v/>
      </c>
      <c r="AR21" s="61" t="n">
        <v>0</v>
      </c>
      <c r="AS21" s="8" t="n">
        <v>0.02</v>
      </c>
      <c r="AT21" s="10">
        <f>AR21*AS21</f>
        <v/>
      </c>
      <c r="AU21" s="10">
        <f>AQ21-AT21</f>
        <v/>
      </c>
      <c r="AV21" s="11">
        <f>AU21</f>
        <v/>
      </c>
      <c r="AW21" s="3" t="n">
        <v>17</v>
      </c>
      <c r="AX21" s="18">
        <f>AN21</f>
        <v/>
      </c>
      <c r="AY21" s="8">
        <f>BF20</f>
        <v/>
      </c>
      <c r="AZ21" s="10" t="n">
        <v>0</v>
      </c>
      <c r="BA21" s="8">
        <f>AY21+AZ21</f>
        <v/>
      </c>
      <c r="BB21" s="61" t="n">
        <v>0</v>
      </c>
      <c r="BC21" s="8" t="n">
        <v>0.03</v>
      </c>
      <c r="BD21" s="12">
        <f>BC21*BB21</f>
        <v/>
      </c>
      <c r="BE21" s="10">
        <f>BA21-BD21</f>
        <v/>
      </c>
      <c r="BF21" s="11">
        <f>BE21</f>
        <v/>
      </c>
      <c r="BG21" s="10">
        <f>AV21+BF21</f>
        <v/>
      </c>
      <c r="BI21" s="3" t="n">
        <v>17</v>
      </c>
      <c r="BJ21" s="18">
        <f>AX21</f>
        <v/>
      </c>
      <c r="BK21" s="8">
        <f>BR20</f>
        <v/>
      </c>
      <c r="BL21" s="10" t="n">
        <v>0</v>
      </c>
      <c r="BM21" s="8">
        <f>BK21+BL21</f>
        <v/>
      </c>
      <c r="BN21" s="61" t="n">
        <v>0</v>
      </c>
      <c r="BO21" s="8" t="n">
        <v>0.02</v>
      </c>
      <c r="BP21" s="10">
        <f>BN21*BO21</f>
        <v/>
      </c>
      <c r="BQ21" s="10">
        <f>BM21-BP21</f>
        <v/>
      </c>
      <c r="BR21" s="11">
        <f>BQ21</f>
        <v/>
      </c>
      <c r="BS21" s="3" t="n">
        <v>17</v>
      </c>
      <c r="BT21" s="18">
        <f>BJ21</f>
        <v/>
      </c>
      <c r="BU21" s="8">
        <f>CB20</f>
        <v/>
      </c>
      <c r="BV21" s="10" t="n">
        <v>0</v>
      </c>
      <c r="BW21" s="8">
        <f>BU21+BV21</f>
        <v/>
      </c>
      <c r="BX21" s="61" t="n">
        <v>0</v>
      </c>
      <c r="BY21" s="8" t="n">
        <v>0.03</v>
      </c>
      <c r="BZ21" s="12">
        <f>BY21*BX21</f>
        <v/>
      </c>
      <c r="CA21" s="10">
        <f>BW21-BZ21</f>
        <v/>
      </c>
      <c r="CB21" s="11">
        <f>CA21</f>
        <v/>
      </c>
      <c r="CC21" s="10">
        <f>BR21+CB21</f>
        <v/>
      </c>
      <c r="CE21" s="3" t="n">
        <v>17</v>
      </c>
      <c r="CF21" s="18">
        <f>BT21</f>
        <v/>
      </c>
      <c r="CG21" s="8">
        <f>CN20</f>
        <v/>
      </c>
      <c r="CH21" s="10" t="n">
        <v>0</v>
      </c>
      <c r="CI21" s="8">
        <f>CG21+CH21</f>
        <v/>
      </c>
      <c r="CJ21" s="61">
        <f>K21</f>
        <v/>
      </c>
      <c r="CK21" s="8" t="n">
        <v>0.02</v>
      </c>
      <c r="CL21" s="10">
        <f>CJ21*CK21</f>
        <v/>
      </c>
      <c r="CM21" s="10">
        <f>CI21-CL21</f>
        <v/>
      </c>
      <c r="CN21" s="11">
        <f>CM21</f>
        <v/>
      </c>
      <c r="CO21" s="3" t="n">
        <v>17</v>
      </c>
      <c r="CP21" s="18">
        <f>CF21</f>
        <v/>
      </c>
      <c r="CQ21" s="8">
        <f>CX20</f>
        <v/>
      </c>
      <c r="CR21" s="10" t="n">
        <v>0</v>
      </c>
      <c r="CS21" s="8">
        <f>CQ21+CR21</f>
        <v/>
      </c>
      <c r="CT21" s="61">
        <f>L21</f>
        <v/>
      </c>
      <c r="CU21" s="8" t="n">
        <v>0.03</v>
      </c>
      <c r="CV21" s="12">
        <f>CU21*CT21</f>
        <v/>
      </c>
      <c r="CW21" s="10">
        <f>CS21-CV21</f>
        <v/>
      </c>
      <c r="CX21" s="11">
        <f>CW21</f>
        <v/>
      </c>
      <c r="CY21" s="10">
        <f>CN21+CX21</f>
        <v/>
      </c>
      <c r="DA21" s="3" t="n">
        <v>17</v>
      </c>
      <c r="DB21" s="18">
        <f>CP21</f>
        <v/>
      </c>
      <c r="DC21" s="8">
        <f>DJ20</f>
        <v/>
      </c>
      <c r="DD21" s="10" t="n">
        <v>0</v>
      </c>
      <c r="DE21" s="8">
        <f>DC21+DD21</f>
        <v/>
      </c>
      <c r="DF21" s="61">
        <f>K21</f>
        <v/>
      </c>
      <c r="DG21" s="106" t="n">
        <v>0.0001</v>
      </c>
      <c r="DH21" s="10">
        <f>DF21*DG21</f>
        <v/>
      </c>
      <c r="DI21" s="10">
        <f>DE21-DH21</f>
        <v/>
      </c>
      <c r="DJ21" s="11">
        <f>DI21</f>
        <v/>
      </c>
      <c r="DK21" s="3" t="n">
        <v>17</v>
      </c>
      <c r="DL21" s="18">
        <f>DB21</f>
        <v/>
      </c>
      <c r="DM21" s="8">
        <f>DT20</f>
        <v/>
      </c>
      <c r="DN21" s="10" t="n">
        <v>0</v>
      </c>
      <c r="DO21" s="8">
        <f>DM21+DN21</f>
        <v/>
      </c>
      <c r="DP21" s="61">
        <f>L21</f>
        <v/>
      </c>
      <c r="DQ21" s="106" t="n">
        <v>0.0003</v>
      </c>
      <c r="DR21" s="12">
        <f>DQ21*DP21</f>
        <v/>
      </c>
      <c r="DS21" s="10">
        <f>DO21-DR21</f>
        <v/>
      </c>
      <c r="DT21" s="11">
        <f>DS21</f>
        <v/>
      </c>
      <c r="DU21" s="10">
        <f>DJ21+DT21</f>
        <v/>
      </c>
      <c r="DW21" s="3" t="n">
        <v>17</v>
      </c>
      <c r="DX21" s="18">
        <f>DL21</f>
        <v/>
      </c>
      <c r="DY21" s="8">
        <f>EF20</f>
        <v/>
      </c>
      <c r="DZ21" s="10" t="n">
        <v>0</v>
      </c>
      <c r="EA21" s="8">
        <f>DY21+DZ21</f>
        <v/>
      </c>
      <c r="EB21" s="61">
        <f>K21</f>
        <v/>
      </c>
      <c r="EC21" s="106" t="n">
        <v>0.0002</v>
      </c>
      <c r="ED21" s="10">
        <f>EB21*EC21</f>
        <v/>
      </c>
      <c r="EE21" s="10">
        <f>EA21-ED21</f>
        <v/>
      </c>
      <c r="EF21" s="11">
        <f>EE21</f>
        <v/>
      </c>
      <c r="EG21" s="3" t="n">
        <v>17</v>
      </c>
      <c r="EH21" s="18">
        <f>DX21</f>
        <v/>
      </c>
      <c r="EI21" s="8">
        <f>EP20</f>
        <v/>
      </c>
      <c r="EJ21" s="10" t="n">
        <v>0</v>
      </c>
      <c r="EK21" s="8">
        <f>EI21+EJ21</f>
        <v/>
      </c>
      <c r="EL21" s="61">
        <f>L21</f>
        <v/>
      </c>
      <c r="EM21" s="106" t="n">
        <v>0.0005999999999999999</v>
      </c>
      <c r="EN21" s="12">
        <f>EM21*EL21</f>
        <v/>
      </c>
      <c r="EO21" s="10">
        <f>EK21-EN21</f>
        <v/>
      </c>
      <c r="EP21" s="11">
        <f>EO21</f>
        <v/>
      </c>
      <c r="EQ21" s="10">
        <f>EF21+EP21</f>
        <v/>
      </c>
      <c r="ES21" s="3" t="n">
        <v>17</v>
      </c>
      <c r="ET21" s="18">
        <f>EH21</f>
        <v/>
      </c>
      <c r="EU21" s="8">
        <f>FB20</f>
        <v/>
      </c>
      <c r="EV21" s="10" t="n">
        <v>0</v>
      </c>
      <c r="EW21" s="8">
        <f>EU21+EV21</f>
        <v/>
      </c>
      <c r="EX21" s="61">
        <f>K21</f>
        <v/>
      </c>
      <c r="EY21" s="107" t="n">
        <v>0.002</v>
      </c>
      <c r="EZ21" s="10">
        <f>EX21*EY21</f>
        <v/>
      </c>
      <c r="FA21" s="10">
        <f>EW21-EZ21</f>
        <v/>
      </c>
      <c r="FB21" s="11">
        <f>FA21</f>
        <v/>
      </c>
      <c r="FC21" s="3" t="n">
        <v>17</v>
      </c>
      <c r="FD21" s="18">
        <f>ET21</f>
        <v/>
      </c>
      <c r="FE21" s="8">
        <f>FL20</f>
        <v/>
      </c>
      <c r="FF21" s="10" t="n">
        <v>0</v>
      </c>
      <c r="FG21" s="8">
        <f>FE21+FF21</f>
        <v/>
      </c>
      <c r="FH21" s="61">
        <f>L21</f>
        <v/>
      </c>
      <c r="FI21" s="107" t="n">
        <v>0.0025</v>
      </c>
      <c r="FJ21" s="12">
        <f>FI21*FH21</f>
        <v/>
      </c>
      <c r="FK21" s="10">
        <f>FG21-FJ21</f>
        <v/>
      </c>
      <c r="FL21" s="11">
        <f>FK21</f>
        <v/>
      </c>
      <c r="FM21" s="10">
        <f>FB21+FL21</f>
        <v/>
      </c>
      <c r="FO21" s="3" t="n">
        <v>17</v>
      </c>
      <c r="FP21" s="18">
        <f>FD21</f>
        <v/>
      </c>
      <c r="FQ21" s="8">
        <f>FX20</f>
        <v/>
      </c>
      <c r="FR21" s="10" t="n">
        <v>0</v>
      </c>
      <c r="FS21" s="8">
        <f>FQ21+FR21</f>
        <v/>
      </c>
      <c r="FT21" s="61">
        <f>K21</f>
        <v/>
      </c>
      <c r="FU21" s="8" t="n">
        <v>0.002</v>
      </c>
      <c r="FV21" s="10">
        <f>FT21*FU21</f>
        <v/>
      </c>
      <c r="FW21" s="10">
        <f>FS21-FV21</f>
        <v/>
      </c>
      <c r="FX21" s="11">
        <f>FW21</f>
        <v/>
      </c>
      <c r="FY21" s="3" t="n">
        <v>17</v>
      </c>
      <c r="FZ21" s="18">
        <f>FP21</f>
        <v/>
      </c>
      <c r="GA21" s="8">
        <f>GH20</f>
        <v/>
      </c>
      <c r="GB21" s="10" t="n">
        <v>0</v>
      </c>
      <c r="GC21" s="8">
        <f>GA21+GB21</f>
        <v/>
      </c>
      <c r="GD21" s="61">
        <f>L21</f>
        <v/>
      </c>
      <c r="GE21" s="8" t="n">
        <v>0.005</v>
      </c>
      <c r="GF21" s="12">
        <f>GE21*GD21</f>
        <v/>
      </c>
      <c r="GG21" s="10">
        <f>GC21-GF21</f>
        <v/>
      </c>
      <c r="GH21" s="11">
        <f>GG21</f>
        <v/>
      </c>
      <c r="GI21" s="10">
        <f>FX21+GH21</f>
        <v/>
      </c>
      <c r="GK21" s="3" t="n">
        <v>17</v>
      </c>
      <c r="GL21" s="18">
        <f>FZ21</f>
        <v/>
      </c>
      <c r="GM21" s="8">
        <f>GT20</f>
        <v/>
      </c>
      <c r="GN21" s="10" t="n">
        <v>0</v>
      </c>
      <c r="GO21" s="8">
        <f>GM21+GN21</f>
        <v/>
      </c>
      <c r="GP21" s="61">
        <f>K21</f>
        <v/>
      </c>
      <c r="GQ21" s="8" t="n">
        <v>0.005</v>
      </c>
      <c r="GR21" s="10">
        <f>GP21*GQ21</f>
        <v/>
      </c>
      <c r="GS21" s="10">
        <f>GO21-GR21</f>
        <v/>
      </c>
      <c r="GT21" s="11">
        <f>GS21</f>
        <v/>
      </c>
      <c r="GU21" s="3" t="n">
        <v>17</v>
      </c>
      <c r="GV21" s="18">
        <f>GL21</f>
        <v/>
      </c>
      <c r="GW21" s="8">
        <f>HD20</f>
        <v/>
      </c>
      <c r="GX21" s="10" t="n">
        <v>0</v>
      </c>
      <c r="GY21" s="8">
        <f>GW21+GX21</f>
        <v/>
      </c>
      <c r="GZ21" s="61">
        <f>L21</f>
        <v/>
      </c>
      <c r="HA21" s="8" t="n">
        <v>0.0075</v>
      </c>
      <c r="HB21" s="12">
        <f>HA21*GZ21</f>
        <v/>
      </c>
      <c r="HC21" s="10">
        <f>GY21-HB21</f>
        <v/>
      </c>
      <c r="HD21" s="11">
        <f>HC21</f>
        <v/>
      </c>
      <c r="HE21" s="10">
        <f>GT21+HD21</f>
        <v/>
      </c>
      <c r="HG21" s="3" t="n">
        <v>17</v>
      </c>
      <c r="HH21" s="18">
        <f>GV21</f>
        <v/>
      </c>
      <c r="HI21" s="61">
        <f>K21</f>
        <v/>
      </c>
      <c r="HJ21" s="22" t="n">
        <v>1</v>
      </c>
      <c r="HK21" s="23">
        <f>HI21*HJ21</f>
        <v/>
      </c>
      <c r="HL21" s="61" t="n">
        <v>0.89</v>
      </c>
      <c r="HM21" s="23">
        <f>HI21*HL21</f>
        <v/>
      </c>
      <c r="HN21" s="22" t="n">
        <v>0.7</v>
      </c>
      <c r="HO21" s="22">
        <f>HN21*HI21</f>
        <v/>
      </c>
      <c r="HP21" s="22" t="n">
        <v>2.59</v>
      </c>
      <c r="HQ21" s="9">
        <f>HI21*HP21</f>
        <v/>
      </c>
      <c r="HR21" s="3" t="n">
        <v>17</v>
      </c>
      <c r="HS21" s="13" t="inlineStr">
        <is>
          <t>17/07/2023</t>
        </is>
      </c>
      <c r="HT21" s="61">
        <f>L21</f>
        <v/>
      </c>
      <c r="HU21" s="22" t="n">
        <v>1.64</v>
      </c>
      <c r="HV21" s="23">
        <f>HT21*HU21</f>
        <v/>
      </c>
      <c r="HW21" s="61" t="n">
        <v>1.14</v>
      </c>
      <c r="HX21" s="23">
        <f>HT21*HW21</f>
        <v/>
      </c>
      <c r="HY21" s="22" t="n">
        <v>1.1</v>
      </c>
      <c r="HZ21" s="22">
        <f>HY21*HT21</f>
        <v/>
      </c>
      <c r="IA21" s="22" t="n">
        <v>3.11</v>
      </c>
      <c r="IB21" s="9">
        <f>HT21*IA21</f>
        <v/>
      </c>
      <c r="IC21" s="9">
        <f>HK21+HV21</f>
        <v/>
      </c>
      <c r="ID21" s="9">
        <f>HM21+HX21</f>
        <v/>
      </c>
      <c r="IE21" s="9">
        <f>HO21+HZ21</f>
        <v/>
      </c>
      <c r="IF21" s="52" t="n"/>
      <c r="IG21" s="109">
        <f>HH21</f>
        <v/>
      </c>
      <c r="IH21" s="132" t="inlineStr">
        <is>
          <t xml:space="preserve"> 'kfuokj</t>
        </is>
      </c>
      <c r="II21" s="140" t="inlineStr">
        <is>
          <t>gjcjk</t>
        </is>
      </c>
      <c r="IJ21" s="105">
        <f>IJ20</f>
        <v/>
      </c>
      <c r="IK21" s="105">
        <f>IJ21</f>
        <v/>
      </c>
      <c r="IL21" s="105">
        <f>K21</f>
        <v/>
      </c>
      <c r="IM21" s="105">
        <f>IL21*100</f>
        <v/>
      </c>
      <c r="IN21" s="105" t="n"/>
      <c r="IO21" s="105" t="n"/>
      <c r="IP21" s="105">
        <f>IL21*20</f>
        <v/>
      </c>
      <c r="IQ21" s="105">
        <f>IL21*0.3</f>
        <v/>
      </c>
      <c r="IR21" s="105">
        <f>IL21*0.4</f>
        <v/>
      </c>
      <c r="IS21" s="105">
        <f>IL21*1.5</f>
        <v/>
      </c>
      <c r="IT21" s="105">
        <f>IL21*5</f>
        <v/>
      </c>
      <c r="IU21" s="105">
        <f>IL21*2</f>
        <v/>
      </c>
      <c r="IV21" s="105">
        <f>IL21*2.08</f>
        <v/>
      </c>
      <c r="IW21" s="13" t="n"/>
      <c r="IX21" s="105">
        <f>IL21*2.08</f>
        <v/>
      </c>
      <c r="IY21" s="13" t="n"/>
      <c r="IZ21" s="109">
        <f>IG21</f>
        <v/>
      </c>
      <c r="JA21" s="132" t="inlineStr">
        <is>
          <t xml:space="preserve"> 'kfuokj</t>
        </is>
      </c>
      <c r="JB21" s="140" t="inlineStr">
        <is>
          <t>gjcjk</t>
        </is>
      </c>
      <c r="JC21" s="105">
        <f>JC20</f>
        <v/>
      </c>
      <c r="JD21" s="105">
        <f>JC21</f>
        <v/>
      </c>
      <c r="JE21" s="105">
        <f>L21</f>
        <v/>
      </c>
      <c r="JF21" s="105">
        <f>JE21*150</f>
        <v/>
      </c>
      <c r="JG21" s="105" t="n"/>
      <c r="JH21" s="105" t="n"/>
      <c r="JI21" s="105">
        <f>JE21*30</f>
        <v/>
      </c>
      <c r="JJ21" s="105">
        <f>JE21*0.25</f>
        <v/>
      </c>
      <c r="JK21" s="105">
        <f>JE21*0.4</f>
        <v/>
      </c>
      <c r="JL21" s="105">
        <f>JE21*2.5</f>
        <v/>
      </c>
      <c r="JM21" s="105">
        <f>JE21*7.5</f>
        <v/>
      </c>
      <c r="JN21" s="105">
        <f>JE21*4</f>
        <v/>
      </c>
      <c r="JO21" s="105">
        <f>JE21*3.11</f>
        <v/>
      </c>
      <c r="JP21" s="13" t="n"/>
      <c r="JQ21" s="105">
        <f>JE21*3.11</f>
        <v/>
      </c>
      <c r="JR21" s="13" t="n"/>
      <c r="JS21" s="52" t="n"/>
      <c r="JT21" s="59" t="n">
        <v>13</v>
      </c>
      <c r="JU21" s="57" t="n"/>
      <c r="JV21" s="58" t="n"/>
      <c r="JW21" s="58" t="n"/>
      <c r="JX21" s="58" t="n"/>
      <c r="JY21" s="58" t="n"/>
      <c r="JZ21" s="52" t="n"/>
      <c r="KA21" s="59" t="n">
        <v>13</v>
      </c>
      <c r="KB21" s="57" t="n"/>
      <c r="KC21" s="58" t="n"/>
      <c r="KD21" s="58" t="n"/>
      <c r="KE21" s="58" t="n"/>
      <c r="KF21" s="58" t="n"/>
      <c r="KG21" s="58" t="n"/>
      <c r="KH21" s="58" t="n"/>
      <c r="KI21" s="58" t="n"/>
      <c r="KJ21" s="49" t="n"/>
    </row>
    <row r="22" ht="35.1" customFormat="1" customHeight="1" s="14">
      <c r="A22" s="132" t="inlineStr">
        <is>
          <t xml:space="preserve"> 'kfuokj</t>
        </is>
      </c>
      <c r="B22" s="114" t="inlineStr">
        <is>
          <t>18/04/2026</t>
        </is>
      </c>
      <c r="C22" s="108" t="n">
        <v>0</v>
      </c>
      <c r="D22" s="108">
        <f>C22</f>
        <v/>
      </c>
      <c r="E22" s="108" t="n">
        <v>0</v>
      </c>
      <c r="F22" s="108" t="n">
        <v>0</v>
      </c>
      <c r="G22" s="108" t="n">
        <v>0</v>
      </c>
      <c r="H22" s="108">
        <f>G22+F22+E22</f>
        <v/>
      </c>
      <c r="I22" s="132" t="inlineStr">
        <is>
          <t xml:space="preserve"> 'kfuokj</t>
        </is>
      </c>
      <c r="J22" s="114" t="inlineStr">
        <is>
          <t>18/04/2026</t>
        </is>
      </c>
      <c r="K22" s="61">
        <f>D22</f>
        <v/>
      </c>
      <c r="L22" s="61">
        <f>H22</f>
        <v/>
      </c>
      <c r="M22" s="61">
        <f>SUM(K22:L22)</f>
        <v/>
      </c>
      <c r="N22" s="140" t="inlineStr">
        <is>
          <t>gjcjk</t>
        </is>
      </c>
      <c r="O22" s="89" t="n"/>
      <c r="Q22" s="3" t="n">
        <v>18</v>
      </c>
      <c r="R22" s="114" t="inlineStr">
        <is>
          <t>18/04/2026</t>
        </is>
      </c>
      <c r="S22" s="11">
        <f>Z21</f>
        <v/>
      </c>
      <c r="T22" s="10" t="n">
        <v>0</v>
      </c>
      <c r="U22" s="8">
        <f>S22+T22</f>
        <v/>
      </c>
      <c r="V22" s="61">
        <f>K22</f>
        <v/>
      </c>
      <c r="W22" s="8" t="n">
        <v>0.1</v>
      </c>
      <c r="X22" s="10">
        <f>V22*W22</f>
        <v/>
      </c>
      <c r="Y22" s="10">
        <f>U22-X22</f>
        <v/>
      </c>
      <c r="Z22" s="11">
        <f>Y22</f>
        <v/>
      </c>
      <c r="AA22" s="3" t="n">
        <v>18</v>
      </c>
      <c r="AB22" s="18">
        <f>R22</f>
        <v/>
      </c>
      <c r="AC22" s="8">
        <f>AJ21</f>
        <v/>
      </c>
      <c r="AD22" s="10" t="n">
        <v>0</v>
      </c>
      <c r="AE22" s="8">
        <f>AC22+AD22</f>
        <v/>
      </c>
      <c r="AF22" s="61">
        <f>L22</f>
        <v/>
      </c>
      <c r="AG22" s="8" t="n">
        <v>0.15</v>
      </c>
      <c r="AH22" s="12">
        <f>AG22*AF22</f>
        <v/>
      </c>
      <c r="AI22" s="10">
        <f>AE22-AH22</f>
        <v/>
      </c>
      <c r="AJ22" s="11">
        <f>AI22</f>
        <v/>
      </c>
      <c r="AK22" s="10">
        <f>Z22+AJ22</f>
        <v/>
      </c>
      <c r="AM22" s="3" t="n">
        <v>18</v>
      </c>
      <c r="AN22" s="18">
        <f>AB22</f>
        <v/>
      </c>
      <c r="AO22" s="8">
        <f>AV21</f>
        <v/>
      </c>
      <c r="AP22" s="10" t="n">
        <v>0</v>
      </c>
      <c r="AQ22" s="8">
        <f>AO22+AP22</f>
        <v/>
      </c>
      <c r="AR22" s="61">
        <f>K22</f>
        <v/>
      </c>
      <c r="AS22" s="8" t="n">
        <v>0.02</v>
      </c>
      <c r="AT22" s="10">
        <f>AR22*AS22</f>
        <v/>
      </c>
      <c r="AU22" s="10">
        <f>AQ22-AT22</f>
        <v/>
      </c>
      <c r="AV22" s="11">
        <f>AU22</f>
        <v/>
      </c>
      <c r="AW22" s="3" t="n">
        <v>18</v>
      </c>
      <c r="AX22" s="18">
        <f>AN22</f>
        <v/>
      </c>
      <c r="AY22" s="8">
        <f>BF21</f>
        <v/>
      </c>
      <c r="AZ22" s="10" t="n">
        <v>0</v>
      </c>
      <c r="BA22" s="8">
        <f>AY22+AZ22</f>
        <v/>
      </c>
      <c r="BB22" s="61">
        <f>L22</f>
        <v/>
      </c>
      <c r="BC22" s="8" t="n">
        <v>0.03</v>
      </c>
      <c r="BD22" s="12">
        <f>BC22*BB22</f>
        <v/>
      </c>
      <c r="BE22" s="10">
        <f>BA22-BD22</f>
        <v/>
      </c>
      <c r="BF22" s="11">
        <f>BE22</f>
        <v/>
      </c>
      <c r="BG22" s="10">
        <f>AV22+BF22</f>
        <v/>
      </c>
      <c r="BI22" s="3" t="n">
        <v>18</v>
      </c>
      <c r="BJ22" s="18">
        <f>AX22</f>
        <v/>
      </c>
      <c r="BK22" s="8">
        <f>BR21</f>
        <v/>
      </c>
      <c r="BL22" s="10" t="n">
        <v>0</v>
      </c>
      <c r="BM22" s="8">
        <f>BK22+BL22</f>
        <v/>
      </c>
      <c r="BN22" s="61" t="n">
        <v>0</v>
      </c>
      <c r="BO22" s="8" t="n">
        <v>0.02</v>
      </c>
      <c r="BP22" s="10">
        <f>BN22*BO22</f>
        <v/>
      </c>
      <c r="BQ22" s="10">
        <f>BM22-BP22</f>
        <v/>
      </c>
      <c r="BR22" s="11">
        <f>BQ22</f>
        <v/>
      </c>
      <c r="BS22" s="3" t="n">
        <v>18</v>
      </c>
      <c r="BT22" s="18">
        <f>BJ22</f>
        <v/>
      </c>
      <c r="BU22" s="8">
        <f>CB21</f>
        <v/>
      </c>
      <c r="BV22" s="10" t="n">
        <v>0</v>
      </c>
      <c r="BW22" s="8">
        <f>BU22+BV22</f>
        <v/>
      </c>
      <c r="BX22" s="61" t="n">
        <v>0</v>
      </c>
      <c r="BY22" s="8" t="n">
        <v>0.03</v>
      </c>
      <c r="BZ22" s="12">
        <f>BY22*BX22</f>
        <v/>
      </c>
      <c r="CA22" s="10">
        <f>BW22-BZ22</f>
        <v/>
      </c>
      <c r="CB22" s="11">
        <f>CA22</f>
        <v/>
      </c>
      <c r="CC22" s="10">
        <f>BR22+CB22</f>
        <v/>
      </c>
      <c r="CE22" s="3" t="n">
        <v>18</v>
      </c>
      <c r="CF22" s="18">
        <f>BT22</f>
        <v/>
      </c>
      <c r="CG22" s="8">
        <f>CN21</f>
        <v/>
      </c>
      <c r="CH22" s="10" t="n">
        <v>0</v>
      </c>
      <c r="CI22" s="8">
        <f>CG22+CH22</f>
        <v/>
      </c>
      <c r="CJ22" s="61" t="n">
        <v>0</v>
      </c>
      <c r="CK22" s="8" t="n">
        <v>0.02</v>
      </c>
      <c r="CL22" s="10">
        <f>CJ22*CK22</f>
        <v/>
      </c>
      <c r="CM22" s="10">
        <f>CI22-CL22</f>
        <v/>
      </c>
      <c r="CN22" s="11">
        <f>CM22</f>
        <v/>
      </c>
      <c r="CO22" s="3" t="n">
        <v>18</v>
      </c>
      <c r="CP22" s="18">
        <f>CF22</f>
        <v/>
      </c>
      <c r="CQ22" s="8">
        <f>CX21</f>
        <v/>
      </c>
      <c r="CR22" s="10" t="n">
        <v>0</v>
      </c>
      <c r="CS22" s="8">
        <f>CQ22+CR22</f>
        <v/>
      </c>
      <c r="CT22" s="61" t="n">
        <v>0</v>
      </c>
      <c r="CU22" s="8" t="n">
        <v>0.03</v>
      </c>
      <c r="CV22" s="12">
        <f>CU22*CT22</f>
        <v/>
      </c>
      <c r="CW22" s="10">
        <f>CS22-CV22</f>
        <v/>
      </c>
      <c r="CX22" s="11">
        <f>CW22</f>
        <v/>
      </c>
      <c r="CY22" s="10">
        <f>CN22+CX22</f>
        <v/>
      </c>
      <c r="DA22" s="3" t="n">
        <v>18</v>
      </c>
      <c r="DB22" s="18">
        <f>CP22</f>
        <v/>
      </c>
      <c r="DC22" s="8">
        <f>DJ21</f>
        <v/>
      </c>
      <c r="DD22" s="10" t="n">
        <v>0</v>
      </c>
      <c r="DE22" s="8">
        <f>DC22+DD22</f>
        <v/>
      </c>
      <c r="DF22" s="61">
        <f>K22</f>
        <v/>
      </c>
      <c r="DG22" s="106" t="n">
        <v>0.0001</v>
      </c>
      <c r="DH22" s="10">
        <f>DF22*DG22</f>
        <v/>
      </c>
      <c r="DI22" s="10">
        <f>DE22-DH22</f>
        <v/>
      </c>
      <c r="DJ22" s="11">
        <f>DI22</f>
        <v/>
      </c>
      <c r="DK22" s="3" t="n">
        <v>18</v>
      </c>
      <c r="DL22" s="18">
        <f>DB22</f>
        <v/>
      </c>
      <c r="DM22" s="8">
        <f>DT21</f>
        <v/>
      </c>
      <c r="DN22" s="10" t="n">
        <v>0</v>
      </c>
      <c r="DO22" s="8">
        <f>DM22+DN22</f>
        <v/>
      </c>
      <c r="DP22" s="61">
        <f>L22</f>
        <v/>
      </c>
      <c r="DQ22" s="106" t="n">
        <v>0.0003</v>
      </c>
      <c r="DR22" s="12">
        <f>DQ22*DP22</f>
        <v/>
      </c>
      <c r="DS22" s="10">
        <f>DO22-DR22</f>
        <v/>
      </c>
      <c r="DT22" s="11">
        <f>DS22</f>
        <v/>
      </c>
      <c r="DU22" s="10">
        <f>DJ22+DT22</f>
        <v/>
      </c>
      <c r="DW22" s="3" t="n">
        <v>18</v>
      </c>
      <c r="DX22" s="18">
        <f>DL22</f>
        <v/>
      </c>
      <c r="DY22" s="8">
        <f>EF21</f>
        <v/>
      </c>
      <c r="DZ22" s="10" t="n">
        <v>0</v>
      </c>
      <c r="EA22" s="8">
        <f>DY22+DZ22</f>
        <v/>
      </c>
      <c r="EB22" s="61">
        <f>K22</f>
        <v/>
      </c>
      <c r="EC22" s="106" t="n">
        <v>0.0002</v>
      </c>
      <c r="ED22" s="10">
        <f>EB22*EC22</f>
        <v/>
      </c>
      <c r="EE22" s="10">
        <f>EA22-ED22</f>
        <v/>
      </c>
      <c r="EF22" s="11">
        <f>EE22</f>
        <v/>
      </c>
      <c r="EG22" s="3" t="n">
        <v>18</v>
      </c>
      <c r="EH22" s="18">
        <f>DX22</f>
        <v/>
      </c>
      <c r="EI22" s="8">
        <f>EP21</f>
        <v/>
      </c>
      <c r="EJ22" s="10" t="n">
        <v>0</v>
      </c>
      <c r="EK22" s="8">
        <f>EI22+EJ22</f>
        <v/>
      </c>
      <c r="EL22" s="61">
        <f>L22</f>
        <v/>
      </c>
      <c r="EM22" s="106" t="n">
        <v>0.0005999999999999999</v>
      </c>
      <c r="EN22" s="12">
        <f>EM22*EL22</f>
        <v/>
      </c>
      <c r="EO22" s="10">
        <f>EK22-EN22</f>
        <v/>
      </c>
      <c r="EP22" s="11">
        <f>EO22</f>
        <v/>
      </c>
      <c r="EQ22" s="10">
        <f>EF22+EP22</f>
        <v/>
      </c>
      <c r="ES22" s="3" t="n">
        <v>18</v>
      </c>
      <c r="ET22" s="18">
        <f>EH22</f>
        <v/>
      </c>
      <c r="EU22" s="8">
        <f>FB21</f>
        <v/>
      </c>
      <c r="EV22" s="10" t="n">
        <v>0</v>
      </c>
      <c r="EW22" s="8">
        <f>EU22+EV22</f>
        <v/>
      </c>
      <c r="EX22" s="61">
        <f>K22</f>
        <v/>
      </c>
      <c r="EY22" s="107" t="n">
        <v>0.002</v>
      </c>
      <c r="EZ22" s="10">
        <f>EX22*EY22</f>
        <v/>
      </c>
      <c r="FA22" s="10">
        <f>EW22-EZ22</f>
        <v/>
      </c>
      <c r="FB22" s="11">
        <f>FA22</f>
        <v/>
      </c>
      <c r="FC22" s="3" t="n">
        <v>18</v>
      </c>
      <c r="FD22" s="18">
        <f>ET22</f>
        <v/>
      </c>
      <c r="FE22" s="8">
        <f>FL21</f>
        <v/>
      </c>
      <c r="FF22" s="10" t="n">
        <v>0</v>
      </c>
      <c r="FG22" s="8">
        <f>FE22+FF22</f>
        <v/>
      </c>
      <c r="FH22" s="61">
        <f>L22</f>
        <v/>
      </c>
      <c r="FI22" s="107" t="n">
        <v>0.0025</v>
      </c>
      <c r="FJ22" s="12">
        <f>FI22*FH22</f>
        <v/>
      </c>
      <c r="FK22" s="10">
        <f>FG22-FJ22</f>
        <v/>
      </c>
      <c r="FL22" s="11">
        <f>FK22</f>
        <v/>
      </c>
      <c r="FM22" s="10">
        <f>FB22+FL22</f>
        <v/>
      </c>
      <c r="FO22" s="3" t="n">
        <v>18</v>
      </c>
      <c r="FP22" s="18">
        <f>FD22</f>
        <v/>
      </c>
      <c r="FQ22" s="8">
        <f>FX21</f>
        <v/>
      </c>
      <c r="FR22" s="10" t="n">
        <v>0</v>
      </c>
      <c r="FS22" s="8">
        <f>FQ22+FR22</f>
        <v/>
      </c>
      <c r="FT22" s="61">
        <f>K22</f>
        <v/>
      </c>
      <c r="FU22" s="8" t="n">
        <v>0.002</v>
      </c>
      <c r="FV22" s="10">
        <f>FT22*FU22</f>
        <v/>
      </c>
      <c r="FW22" s="10">
        <f>FS22-FV22</f>
        <v/>
      </c>
      <c r="FX22" s="11">
        <f>FW22</f>
        <v/>
      </c>
      <c r="FY22" s="3" t="n">
        <v>18</v>
      </c>
      <c r="FZ22" s="18">
        <f>FP22</f>
        <v/>
      </c>
      <c r="GA22" s="8">
        <f>GH21</f>
        <v/>
      </c>
      <c r="GB22" s="10" t="n">
        <v>0</v>
      </c>
      <c r="GC22" s="8">
        <f>GA22+GB22</f>
        <v/>
      </c>
      <c r="GD22" s="61">
        <f>L22</f>
        <v/>
      </c>
      <c r="GE22" s="8" t="n">
        <v>0.005</v>
      </c>
      <c r="GF22" s="12">
        <f>GE22*GD22</f>
        <v/>
      </c>
      <c r="GG22" s="10">
        <f>GC22-GF22</f>
        <v/>
      </c>
      <c r="GH22" s="11">
        <f>GG22</f>
        <v/>
      </c>
      <c r="GI22" s="10">
        <f>FX22+GH22</f>
        <v/>
      </c>
      <c r="GK22" s="3" t="n">
        <v>18</v>
      </c>
      <c r="GL22" s="18">
        <f>FZ22</f>
        <v/>
      </c>
      <c r="GM22" s="8">
        <f>GT21</f>
        <v/>
      </c>
      <c r="GN22" s="10" t="n">
        <v>0</v>
      </c>
      <c r="GO22" s="8">
        <f>GM22+GN22</f>
        <v/>
      </c>
      <c r="GP22" s="61">
        <f>K22</f>
        <v/>
      </c>
      <c r="GQ22" s="8" t="n">
        <v>0.005</v>
      </c>
      <c r="GR22" s="10">
        <f>GP22*GQ22</f>
        <v/>
      </c>
      <c r="GS22" s="10">
        <f>GO22-GR22</f>
        <v/>
      </c>
      <c r="GT22" s="11">
        <f>GS22</f>
        <v/>
      </c>
      <c r="GU22" s="3" t="n">
        <v>18</v>
      </c>
      <c r="GV22" s="18">
        <f>GL22</f>
        <v/>
      </c>
      <c r="GW22" s="8">
        <f>HD21</f>
        <v/>
      </c>
      <c r="GX22" s="10" t="n">
        <v>0</v>
      </c>
      <c r="GY22" s="8">
        <f>GW22+GX22</f>
        <v/>
      </c>
      <c r="GZ22" s="61">
        <f>L22</f>
        <v/>
      </c>
      <c r="HA22" s="8" t="n">
        <v>0.0075</v>
      </c>
      <c r="HB22" s="12">
        <f>HA22*GZ22</f>
        <v/>
      </c>
      <c r="HC22" s="10">
        <f>GY22-HB22</f>
        <v/>
      </c>
      <c r="HD22" s="11">
        <f>HC22</f>
        <v/>
      </c>
      <c r="HE22" s="10">
        <f>GT22+HD22</f>
        <v/>
      </c>
      <c r="HG22" s="3" t="n">
        <v>18</v>
      </c>
      <c r="HH22" s="18">
        <f>GV22</f>
        <v/>
      </c>
      <c r="HI22" s="61">
        <f>K22</f>
        <v/>
      </c>
      <c r="HJ22" s="22" t="n">
        <v>1</v>
      </c>
      <c r="HK22" s="23">
        <f>HI22*HJ22</f>
        <v/>
      </c>
      <c r="HL22" s="61" t="n">
        <v>0.89</v>
      </c>
      <c r="HM22" s="23">
        <f>HI22*HL22</f>
        <v/>
      </c>
      <c r="HN22" s="22" t="n">
        <v>0.7</v>
      </c>
      <c r="HO22" s="22">
        <f>HN22*HI22</f>
        <v/>
      </c>
      <c r="HP22" s="22" t="n">
        <v>2.59</v>
      </c>
      <c r="HQ22" s="9">
        <f>HI22*HP22</f>
        <v/>
      </c>
      <c r="HR22" s="3" t="n">
        <v>18</v>
      </c>
      <c r="HS22" s="13" t="inlineStr">
        <is>
          <t>18/7/2023</t>
        </is>
      </c>
      <c r="HT22" s="61">
        <f>L22</f>
        <v/>
      </c>
      <c r="HU22" s="22" t="n">
        <v>1.64</v>
      </c>
      <c r="HV22" s="23">
        <f>HT22*HU22</f>
        <v/>
      </c>
      <c r="HW22" s="61" t="n">
        <v>1.14</v>
      </c>
      <c r="HX22" s="23">
        <f>HT22*HW22</f>
        <v/>
      </c>
      <c r="HY22" s="22" t="n">
        <v>1.1</v>
      </c>
      <c r="HZ22" s="22">
        <f>HY22*HT22</f>
        <v/>
      </c>
      <c r="IA22" s="22" t="n">
        <v>3.11</v>
      </c>
      <c r="IB22" s="9">
        <f>HT22*IA22</f>
        <v/>
      </c>
      <c r="IC22" s="9">
        <f>HK22+HV22</f>
        <v/>
      </c>
      <c r="ID22" s="9">
        <f>HM22+HX22</f>
        <v/>
      </c>
      <c r="IE22" s="9">
        <f>HO22+HZ22</f>
        <v/>
      </c>
      <c r="IF22" s="52" t="n"/>
      <c r="IG22" s="109">
        <f>HH22</f>
        <v/>
      </c>
      <c r="IH22" s="132" t="inlineStr">
        <is>
          <t>jfookj</t>
        </is>
      </c>
      <c r="II22" s="140" t="n"/>
      <c r="IJ22" s="105">
        <f>IJ21</f>
        <v/>
      </c>
      <c r="IK22" s="105">
        <f>IJ22</f>
        <v/>
      </c>
      <c r="IL22" s="105">
        <f>K22</f>
        <v/>
      </c>
      <c r="IM22" s="105">
        <f>IL22*100</f>
        <v/>
      </c>
      <c r="IN22" s="105">
        <f>IL22*20</f>
        <v/>
      </c>
      <c r="IO22" s="105" t="n"/>
      <c r="IP22" s="105" t="n"/>
      <c r="IQ22" s="105">
        <f>IL22*0.3</f>
        <v/>
      </c>
      <c r="IR22" s="105">
        <f>IL22*0.4</f>
        <v/>
      </c>
      <c r="IS22" s="105">
        <f>IL22*1.5</f>
        <v/>
      </c>
      <c r="IT22" s="105">
        <f>IL22*5</f>
        <v/>
      </c>
      <c r="IU22" s="105">
        <f>IL22*2</f>
        <v/>
      </c>
      <c r="IV22" s="105">
        <f>IL22*2.08</f>
        <v/>
      </c>
      <c r="IW22" s="13" t="n"/>
      <c r="IX22" s="105">
        <f>IL22*2.08</f>
        <v/>
      </c>
      <c r="IY22" s="13" t="n"/>
      <c r="IZ22" s="109">
        <f>IG22</f>
        <v/>
      </c>
      <c r="JA22" s="132" t="inlineStr">
        <is>
          <t>jfookj</t>
        </is>
      </c>
      <c r="JB22" s="140" t="n"/>
      <c r="JC22" s="105">
        <f>JC21</f>
        <v/>
      </c>
      <c r="JD22" s="105">
        <f>JC22</f>
        <v/>
      </c>
      <c r="JE22" s="105">
        <f>L22</f>
        <v/>
      </c>
      <c r="JF22" s="105">
        <f>JE22*150</f>
        <v/>
      </c>
      <c r="JG22" s="105">
        <f>JE22*30</f>
        <v/>
      </c>
      <c r="JH22" s="105" t="n"/>
      <c r="JI22" s="105" t="n"/>
      <c r="JJ22" s="105">
        <f>JE22*0.25</f>
        <v/>
      </c>
      <c r="JK22" s="105">
        <f>JE22*0.4</f>
        <v/>
      </c>
      <c r="JL22" s="105">
        <f>JE22*2.5</f>
        <v/>
      </c>
      <c r="JM22" s="105">
        <f>JE22*7.5</f>
        <v/>
      </c>
      <c r="JN22" s="105">
        <f>JE22*4</f>
        <v/>
      </c>
      <c r="JO22" s="105">
        <f>JE22*3.11</f>
        <v/>
      </c>
      <c r="JP22" s="13" t="n"/>
      <c r="JQ22" s="105">
        <f>JE22*3.11</f>
        <v/>
      </c>
      <c r="JR22" s="13" t="n"/>
      <c r="JS22" s="52" t="n"/>
      <c r="JT22" s="59" t="n">
        <v>14</v>
      </c>
      <c r="JU22" s="57" t="n"/>
      <c r="JV22" s="58" t="n"/>
      <c r="JW22" s="58" t="n"/>
      <c r="JX22" s="58" t="n"/>
      <c r="JY22" s="58" t="n"/>
      <c r="JZ22" s="52" t="n"/>
      <c r="KA22" s="59" t="n">
        <v>14</v>
      </c>
      <c r="KB22" s="57" t="n"/>
      <c r="KC22" s="58" t="n"/>
      <c r="KD22" s="58" t="n"/>
      <c r="KE22" s="58" t="n"/>
      <c r="KF22" s="58" t="n"/>
      <c r="KG22" s="58" t="n"/>
      <c r="KH22" s="58" t="n"/>
      <c r="KI22" s="58" t="n"/>
      <c r="KJ22" s="49" t="n"/>
    </row>
    <row r="23" ht="35.1" customFormat="1" customHeight="1" s="14">
      <c r="A23" s="132" t="inlineStr">
        <is>
          <t>jfookj</t>
        </is>
      </c>
      <c r="B23" s="114" t="inlineStr">
        <is>
          <t>19/04/2026</t>
        </is>
      </c>
      <c r="C23" s="108" t="n">
        <v>0</v>
      </c>
      <c r="D23" s="108">
        <f>C23</f>
        <v/>
      </c>
      <c r="E23" s="108" t="n">
        <v>0</v>
      </c>
      <c r="F23" s="108" t="n">
        <v>0</v>
      </c>
      <c r="G23" s="108" t="n">
        <v>0</v>
      </c>
      <c r="H23" s="108">
        <f>G23+F23+E23</f>
        <v/>
      </c>
      <c r="I23" s="132" t="inlineStr">
        <is>
          <t>jfookj</t>
        </is>
      </c>
      <c r="J23" s="114" t="inlineStr">
        <is>
          <t>19/04/2026</t>
        </is>
      </c>
      <c r="K23" s="61">
        <f>D23</f>
        <v/>
      </c>
      <c r="L23" s="61">
        <f>H23</f>
        <v/>
      </c>
      <c r="M23" s="61">
        <f>SUM(K23:L23)</f>
        <v/>
      </c>
      <c r="N23" s="140" t="n"/>
      <c r="O23" s="89" t="n"/>
      <c r="Q23" s="3" t="n">
        <v>19</v>
      </c>
      <c r="R23" s="114" t="inlineStr">
        <is>
          <t>19/04/2026</t>
        </is>
      </c>
      <c r="S23" s="11">
        <f>Z22</f>
        <v/>
      </c>
      <c r="T23" s="10" t="n">
        <v>0</v>
      </c>
      <c r="U23" s="8">
        <f>S23+T23</f>
        <v/>
      </c>
      <c r="V23" s="61">
        <f>K23</f>
        <v/>
      </c>
      <c r="W23" s="8" t="n">
        <v>0.1</v>
      </c>
      <c r="X23" s="10">
        <f>V23*W23</f>
        <v/>
      </c>
      <c r="Y23" s="10">
        <f>U23-X23</f>
        <v/>
      </c>
      <c r="Z23" s="11">
        <f>Y23</f>
        <v/>
      </c>
      <c r="AA23" s="3" t="n">
        <v>19</v>
      </c>
      <c r="AB23" s="18">
        <f>R23</f>
        <v/>
      </c>
      <c r="AC23" s="8">
        <f>AJ22</f>
        <v/>
      </c>
      <c r="AD23" s="10" t="n">
        <v>0</v>
      </c>
      <c r="AE23" s="8">
        <f>AC23+AD23</f>
        <v/>
      </c>
      <c r="AF23" s="61">
        <f>L23</f>
        <v/>
      </c>
      <c r="AG23" s="8" t="n">
        <v>0.15</v>
      </c>
      <c r="AH23" s="12">
        <f>AG23*AF23</f>
        <v/>
      </c>
      <c r="AI23" s="10">
        <f>AE23-AH23</f>
        <v/>
      </c>
      <c r="AJ23" s="11">
        <f>AI23</f>
        <v/>
      </c>
      <c r="AK23" s="10">
        <f>Z23+AJ23</f>
        <v/>
      </c>
      <c r="AM23" s="3" t="n">
        <v>19</v>
      </c>
      <c r="AN23" s="18">
        <f>AB23</f>
        <v/>
      </c>
      <c r="AO23" s="8">
        <f>AV22</f>
        <v/>
      </c>
      <c r="AP23" s="10" t="n">
        <v>0</v>
      </c>
      <c r="AQ23" s="8">
        <f>AO23+AP23</f>
        <v/>
      </c>
      <c r="AR23" s="61" t="n">
        <v>0</v>
      </c>
      <c r="AS23" s="8" t="n">
        <v>0.02</v>
      </c>
      <c r="AT23" s="10">
        <f>AR23*AS23</f>
        <v/>
      </c>
      <c r="AU23" s="10">
        <f>AQ23-AT23</f>
        <v/>
      </c>
      <c r="AV23" s="11">
        <f>AU23</f>
        <v/>
      </c>
      <c r="AW23" s="3" t="n">
        <v>19</v>
      </c>
      <c r="AX23" s="18">
        <f>AN23</f>
        <v/>
      </c>
      <c r="AY23" s="8">
        <f>BF22</f>
        <v/>
      </c>
      <c r="AZ23" s="10" t="n">
        <v>0</v>
      </c>
      <c r="BA23" s="8">
        <f>AY23+AZ23</f>
        <v/>
      </c>
      <c r="BB23" s="61" t="n">
        <v>0</v>
      </c>
      <c r="BC23" s="8" t="n">
        <v>0.03</v>
      </c>
      <c r="BD23" s="12">
        <f>BC23*BB23</f>
        <v/>
      </c>
      <c r="BE23" s="10">
        <f>BA23-BD23</f>
        <v/>
      </c>
      <c r="BF23" s="11">
        <f>BE23</f>
        <v/>
      </c>
      <c r="BG23" s="10">
        <f>AV23+BF23</f>
        <v/>
      </c>
      <c r="BI23" s="3" t="n">
        <v>19</v>
      </c>
      <c r="BJ23" s="18">
        <f>AX23</f>
        <v/>
      </c>
      <c r="BK23" s="8">
        <f>BR22</f>
        <v/>
      </c>
      <c r="BL23" s="10" t="n">
        <v>0</v>
      </c>
      <c r="BM23" s="8">
        <f>BK23+BL23</f>
        <v/>
      </c>
      <c r="BN23" s="61" t="n">
        <v>0</v>
      </c>
      <c r="BO23" s="8" t="n">
        <v>0.02</v>
      </c>
      <c r="BP23" s="10">
        <f>BN23*BO23</f>
        <v/>
      </c>
      <c r="BQ23" s="10">
        <f>BM23-BP23</f>
        <v/>
      </c>
      <c r="BR23" s="11">
        <f>BQ23</f>
        <v/>
      </c>
      <c r="BS23" s="3" t="n">
        <v>19</v>
      </c>
      <c r="BT23" s="18">
        <f>BJ23</f>
        <v/>
      </c>
      <c r="BU23" s="8">
        <f>CB22</f>
        <v/>
      </c>
      <c r="BV23" s="10" t="n">
        <v>0</v>
      </c>
      <c r="BW23" s="8">
        <f>BU23+BV23</f>
        <v/>
      </c>
      <c r="BX23" s="61" t="n">
        <v>0</v>
      </c>
      <c r="BY23" s="8" t="n">
        <v>0.03</v>
      </c>
      <c r="BZ23" s="12">
        <f>BY23*BX23</f>
        <v/>
      </c>
      <c r="CA23" s="10">
        <f>BW23-BZ23</f>
        <v/>
      </c>
      <c r="CB23" s="11">
        <f>CA23</f>
        <v/>
      </c>
      <c r="CC23" s="10">
        <f>BR23+CB23</f>
        <v/>
      </c>
      <c r="CE23" s="3" t="n">
        <v>19</v>
      </c>
      <c r="CF23" s="18">
        <f>BT23</f>
        <v/>
      </c>
      <c r="CG23" s="8">
        <f>CN22</f>
        <v/>
      </c>
      <c r="CH23" s="10" t="n">
        <v>0</v>
      </c>
      <c r="CI23" s="8">
        <f>CG23+CH23</f>
        <v/>
      </c>
      <c r="CJ23" s="61" t="n">
        <v>0</v>
      </c>
      <c r="CK23" s="8" t="n">
        <v>0.02</v>
      </c>
      <c r="CL23" s="10">
        <f>CJ23*CK23</f>
        <v/>
      </c>
      <c r="CM23" s="10">
        <f>CI23-CL23</f>
        <v/>
      </c>
      <c r="CN23" s="11">
        <f>CM23</f>
        <v/>
      </c>
      <c r="CO23" s="3" t="n">
        <v>19</v>
      </c>
      <c r="CP23" s="18">
        <f>CF23</f>
        <v/>
      </c>
      <c r="CQ23" s="8">
        <f>CX22</f>
        <v/>
      </c>
      <c r="CR23" s="10" t="n">
        <v>0</v>
      </c>
      <c r="CS23" s="8">
        <f>CQ23+CR23</f>
        <v/>
      </c>
      <c r="CT23" s="61" t="n">
        <v>0</v>
      </c>
      <c r="CU23" s="8" t="n">
        <v>0.03</v>
      </c>
      <c r="CV23" s="12">
        <f>CU23*CT23</f>
        <v/>
      </c>
      <c r="CW23" s="10">
        <f>CS23-CV23</f>
        <v/>
      </c>
      <c r="CX23" s="11">
        <f>CW23</f>
        <v/>
      </c>
      <c r="CY23" s="10">
        <f>CN23+CX23</f>
        <v/>
      </c>
      <c r="DA23" s="3" t="n">
        <v>19</v>
      </c>
      <c r="DB23" s="18">
        <f>CP23</f>
        <v/>
      </c>
      <c r="DC23" s="8">
        <f>DJ22</f>
        <v/>
      </c>
      <c r="DD23" s="10" t="n">
        <v>0</v>
      </c>
      <c r="DE23" s="8">
        <f>DC23+DD23</f>
        <v/>
      </c>
      <c r="DF23" s="61">
        <f>K23</f>
        <v/>
      </c>
      <c r="DG23" s="106" t="n">
        <v>0.0001</v>
      </c>
      <c r="DH23" s="10">
        <f>DF23*DG23</f>
        <v/>
      </c>
      <c r="DI23" s="10">
        <f>DE23-DH23</f>
        <v/>
      </c>
      <c r="DJ23" s="11">
        <f>DI23</f>
        <v/>
      </c>
      <c r="DK23" s="3" t="n">
        <v>19</v>
      </c>
      <c r="DL23" s="18">
        <f>DB23</f>
        <v/>
      </c>
      <c r="DM23" s="8">
        <f>DT22</f>
        <v/>
      </c>
      <c r="DN23" s="10" t="n">
        <v>0</v>
      </c>
      <c r="DO23" s="8">
        <f>DM23+DN23</f>
        <v/>
      </c>
      <c r="DP23" s="61">
        <f>L23</f>
        <v/>
      </c>
      <c r="DQ23" s="106" t="n">
        <v>0.0003</v>
      </c>
      <c r="DR23" s="12">
        <f>DQ23*DP23</f>
        <v/>
      </c>
      <c r="DS23" s="10">
        <f>DO23-DR23</f>
        <v/>
      </c>
      <c r="DT23" s="11">
        <f>DS23</f>
        <v/>
      </c>
      <c r="DU23" s="10">
        <f>DJ23+DT23</f>
        <v/>
      </c>
      <c r="DW23" s="3" t="n">
        <v>19</v>
      </c>
      <c r="DX23" s="18">
        <f>DL23</f>
        <v/>
      </c>
      <c r="DY23" s="8">
        <f>EF22</f>
        <v/>
      </c>
      <c r="DZ23" s="10" t="n">
        <v>0</v>
      </c>
      <c r="EA23" s="8">
        <f>DY23+DZ23</f>
        <v/>
      </c>
      <c r="EB23" s="61">
        <f>K23</f>
        <v/>
      </c>
      <c r="EC23" s="106" t="n">
        <v>0.0002</v>
      </c>
      <c r="ED23" s="10">
        <f>EB23*EC23</f>
        <v/>
      </c>
      <c r="EE23" s="10">
        <f>EA23-ED23</f>
        <v/>
      </c>
      <c r="EF23" s="11">
        <f>EE23</f>
        <v/>
      </c>
      <c r="EG23" s="3" t="n">
        <v>19</v>
      </c>
      <c r="EH23" s="18">
        <f>DX23</f>
        <v/>
      </c>
      <c r="EI23" s="8">
        <f>EP22</f>
        <v/>
      </c>
      <c r="EJ23" s="10" t="n">
        <v>0</v>
      </c>
      <c r="EK23" s="8">
        <f>EI23+EJ23</f>
        <v/>
      </c>
      <c r="EL23" s="61">
        <f>L23</f>
        <v/>
      </c>
      <c r="EM23" s="106" t="n">
        <v>0.0005999999999999999</v>
      </c>
      <c r="EN23" s="12">
        <f>EM23*EL23</f>
        <v/>
      </c>
      <c r="EO23" s="10">
        <f>EK23-EN23</f>
        <v/>
      </c>
      <c r="EP23" s="11">
        <f>EO23</f>
        <v/>
      </c>
      <c r="EQ23" s="10">
        <f>EF23+EP23</f>
        <v/>
      </c>
      <c r="ES23" s="3" t="n">
        <v>19</v>
      </c>
      <c r="ET23" s="18">
        <f>EH23</f>
        <v/>
      </c>
      <c r="EU23" s="8">
        <f>FB22</f>
        <v/>
      </c>
      <c r="EV23" s="10" t="n">
        <v>0</v>
      </c>
      <c r="EW23" s="8">
        <f>EU23+EV23</f>
        <v/>
      </c>
      <c r="EX23" s="61">
        <f>K23</f>
        <v/>
      </c>
      <c r="EY23" s="107" t="n">
        <v>0.002</v>
      </c>
      <c r="EZ23" s="10">
        <f>EX23*EY23</f>
        <v/>
      </c>
      <c r="FA23" s="10">
        <f>EW23-EZ23</f>
        <v/>
      </c>
      <c r="FB23" s="11">
        <f>FA23</f>
        <v/>
      </c>
      <c r="FC23" s="3" t="n">
        <v>19</v>
      </c>
      <c r="FD23" s="18">
        <f>ET23</f>
        <v/>
      </c>
      <c r="FE23" s="8">
        <f>FL22</f>
        <v/>
      </c>
      <c r="FF23" s="10" t="n">
        <v>0</v>
      </c>
      <c r="FG23" s="8">
        <f>FE23+FF23</f>
        <v/>
      </c>
      <c r="FH23" s="61">
        <f>L23</f>
        <v/>
      </c>
      <c r="FI23" s="107" t="n">
        <v>0.0025</v>
      </c>
      <c r="FJ23" s="12">
        <f>FI23*FH23</f>
        <v/>
      </c>
      <c r="FK23" s="10">
        <f>FG23-FJ23</f>
        <v/>
      </c>
      <c r="FL23" s="11">
        <f>FK23</f>
        <v/>
      </c>
      <c r="FM23" s="10">
        <f>FB23+FL23</f>
        <v/>
      </c>
      <c r="FO23" s="3" t="n">
        <v>19</v>
      </c>
      <c r="FP23" s="18">
        <f>FD23</f>
        <v/>
      </c>
      <c r="FQ23" s="8">
        <f>FX22</f>
        <v/>
      </c>
      <c r="FR23" s="10" t="n">
        <v>0</v>
      </c>
      <c r="FS23" s="8">
        <f>FQ23+FR23</f>
        <v/>
      </c>
      <c r="FT23" s="61">
        <f>K23</f>
        <v/>
      </c>
      <c r="FU23" s="8" t="n">
        <v>0.002</v>
      </c>
      <c r="FV23" s="10">
        <f>FT23*FU23</f>
        <v/>
      </c>
      <c r="FW23" s="10">
        <f>FS23-FV23</f>
        <v/>
      </c>
      <c r="FX23" s="11">
        <f>FW23</f>
        <v/>
      </c>
      <c r="FY23" s="3" t="n">
        <v>19</v>
      </c>
      <c r="FZ23" s="18">
        <f>FP23</f>
        <v/>
      </c>
      <c r="GA23" s="8">
        <f>GH22</f>
        <v/>
      </c>
      <c r="GB23" s="10" t="n">
        <v>0</v>
      </c>
      <c r="GC23" s="8">
        <f>GA23+GB23</f>
        <v/>
      </c>
      <c r="GD23" s="61">
        <f>L23</f>
        <v/>
      </c>
      <c r="GE23" s="8" t="n">
        <v>0.005</v>
      </c>
      <c r="GF23" s="12">
        <f>GE23*GD23</f>
        <v/>
      </c>
      <c r="GG23" s="10">
        <f>GC23-GF23</f>
        <v/>
      </c>
      <c r="GH23" s="11">
        <f>GG23</f>
        <v/>
      </c>
      <c r="GI23" s="10">
        <f>FX23+GH23</f>
        <v/>
      </c>
      <c r="GK23" s="3" t="n">
        <v>19</v>
      </c>
      <c r="GL23" s="18">
        <f>FZ23</f>
        <v/>
      </c>
      <c r="GM23" s="8">
        <f>GT22</f>
        <v/>
      </c>
      <c r="GN23" s="10" t="n">
        <v>0</v>
      </c>
      <c r="GO23" s="8">
        <f>GM23+GN23</f>
        <v/>
      </c>
      <c r="GP23" s="61">
        <f>K23</f>
        <v/>
      </c>
      <c r="GQ23" s="8" t="n">
        <v>0.005</v>
      </c>
      <c r="GR23" s="10">
        <f>GP23*GQ23</f>
        <v/>
      </c>
      <c r="GS23" s="10">
        <f>GO23-GR23</f>
        <v/>
      </c>
      <c r="GT23" s="11">
        <f>GS23</f>
        <v/>
      </c>
      <c r="GU23" s="3" t="n">
        <v>19</v>
      </c>
      <c r="GV23" s="18">
        <f>GL23</f>
        <v/>
      </c>
      <c r="GW23" s="8">
        <f>HD22</f>
        <v/>
      </c>
      <c r="GX23" s="10" t="n">
        <v>0</v>
      </c>
      <c r="GY23" s="8">
        <f>GW23+GX23</f>
        <v/>
      </c>
      <c r="GZ23" s="61">
        <f>L23</f>
        <v/>
      </c>
      <c r="HA23" s="8" t="n">
        <v>0.0075</v>
      </c>
      <c r="HB23" s="12">
        <f>HA23*GZ23</f>
        <v/>
      </c>
      <c r="HC23" s="10">
        <f>GY23-HB23</f>
        <v/>
      </c>
      <c r="HD23" s="11">
        <f>HC23</f>
        <v/>
      </c>
      <c r="HE23" s="10">
        <f>GT23+HD23</f>
        <v/>
      </c>
      <c r="HG23" s="3" t="n">
        <v>19</v>
      </c>
      <c r="HH23" s="18">
        <f>GV23</f>
        <v/>
      </c>
      <c r="HI23" s="61">
        <f>K23</f>
        <v/>
      </c>
      <c r="HJ23" s="22" t="n">
        <v>1</v>
      </c>
      <c r="HK23" s="23">
        <f>HI23*HJ23</f>
        <v/>
      </c>
      <c r="HL23" s="61" t="n">
        <v>0.89</v>
      </c>
      <c r="HM23" s="23">
        <f>HI23*HL23</f>
        <v/>
      </c>
      <c r="HN23" s="22" t="n">
        <v>0.7</v>
      </c>
      <c r="HO23" s="22">
        <f>HN23*HI23</f>
        <v/>
      </c>
      <c r="HP23" s="22" t="n">
        <v>2.59</v>
      </c>
      <c r="HQ23" s="9">
        <f>HI23*HP23</f>
        <v/>
      </c>
      <c r="HR23" s="3" t="n">
        <v>19</v>
      </c>
      <c r="HS23" s="13" t="inlineStr">
        <is>
          <t>19/7/2023</t>
        </is>
      </c>
      <c r="HT23" s="61">
        <f>L23</f>
        <v/>
      </c>
      <c r="HU23" s="22" t="n">
        <v>1.64</v>
      </c>
      <c r="HV23" s="23">
        <f>HT23*HU23</f>
        <v/>
      </c>
      <c r="HW23" s="61" t="n">
        <v>1.14</v>
      </c>
      <c r="HX23" s="23">
        <f>HT23*HW23</f>
        <v/>
      </c>
      <c r="HY23" s="22" t="n">
        <v>1.1</v>
      </c>
      <c r="HZ23" s="22">
        <f>HY23*HT23</f>
        <v/>
      </c>
      <c r="IA23" s="22" t="n">
        <v>3.11</v>
      </c>
      <c r="IB23" s="9">
        <f>HT23*IA23</f>
        <v/>
      </c>
      <c r="IC23" s="9">
        <f>HK23+HV23</f>
        <v/>
      </c>
      <c r="ID23" s="9">
        <f>HM23+HX23</f>
        <v/>
      </c>
      <c r="IE23" s="9">
        <f>HO23+HZ23</f>
        <v/>
      </c>
      <c r="IF23" s="52" t="n"/>
      <c r="IG23" s="109">
        <f>HH23</f>
        <v/>
      </c>
      <c r="IH23" s="132" t="inlineStr">
        <is>
          <t>lkseokj</t>
        </is>
      </c>
      <c r="II23" s="140" t="inlineStr">
        <is>
          <t>elqj nkG</t>
        </is>
      </c>
      <c r="IJ23" s="105">
        <f>IJ22</f>
        <v/>
      </c>
      <c r="IK23" s="105">
        <f>IJ23</f>
        <v/>
      </c>
      <c r="IL23" s="105">
        <f>K23</f>
        <v/>
      </c>
      <c r="IM23" s="105">
        <f>IL23*100</f>
        <v/>
      </c>
      <c r="IN23" s="105">
        <f>IL23*20</f>
        <v/>
      </c>
      <c r="IO23" s="105" t="n"/>
      <c r="IP23" s="105" t="n"/>
      <c r="IQ23" s="105">
        <f>IL23*0.3</f>
        <v/>
      </c>
      <c r="IR23" s="105">
        <f>IL23*0.4</f>
        <v/>
      </c>
      <c r="IS23" s="105">
        <f>IL23*1.5</f>
        <v/>
      </c>
      <c r="IT23" s="105">
        <f>IL23*5</f>
        <v/>
      </c>
      <c r="IU23" s="105">
        <f>IL23*2</f>
        <v/>
      </c>
      <c r="IV23" s="105">
        <f>IL23*2.08</f>
        <v/>
      </c>
      <c r="IW23" s="13" t="n"/>
      <c r="IX23" s="105">
        <f>IL23*2.08</f>
        <v/>
      </c>
      <c r="IY23" s="13" t="n"/>
      <c r="IZ23" s="109">
        <f>IG23</f>
        <v/>
      </c>
      <c r="JA23" s="132" t="inlineStr">
        <is>
          <t>lkseokj</t>
        </is>
      </c>
      <c r="JB23" s="140" t="inlineStr">
        <is>
          <t>elqj nkG</t>
        </is>
      </c>
      <c r="JC23" s="105">
        <f>JC22</f>
        <v/>
      </c>
      <c r="JD23" s="105">
        <f>JC23</f>
        <v/>
      </c>
      <c r="JE23" s="105">
        <f>L23</f>
        <v/>
      </c>
      <c r="JF23" s="105">
        <f>JE23*150</f>
        <v/>
      </c>
      <c r="JG23" s="105" t="n"/>
      <c r="JH23" s="105">
        <f>JE23*30</f>
        <v/>
      </c>
      <c r="JI23" s="105" t="n"/>
      <c r="JJ23" s="105">
        <f>JE23*0.25</f>
        <v/>
      </c>
      <c r="JK23" s="105">
        <f>JE23*0.4</f>
        <v/>
      </c>
      <c r="JL23" s="105">
        <f>JE23*2.5</f>
        <v/>
      </c>
      <c r="JM23" s="105">
        <f>JE23*7.5</f>
        <v/>
      </c>
      <c r="JN23" s="105">
        <f>JE23*4</f>
        <v/>
      </c>
      <c r="JO23" s="105">
        <f>JE23*3.11</f>
        <v/>
      </c>
      <c r="JP23" s="13" t="n"/>
      <c r="JQ23" s="105">
        <f>JE23*3.11</f>
        <v/>
      </c>
      <c r="JR23" s="13" t="n"/>
      <c r="JS23" s="52" t="n"/>
      <c r="JT23" s="59" t="n">
        <v>15</v>
      </c>
      <c r="JU23" s="57" t="n"/>
      <c r="JV23" s="58" t="n"/>
      <c r="JW23" s="58" t="n"/>
      <c r="JX23" s="58" t="n"/>
      <c r="JY23" s="58" t="n"/>
      <c r="JZ23" s="52" t="n"/>
      <c r="KA23" s="59" t="n">
        <v>15</v>
      </c>
      <c r="KB23" s="57" t="n"/>
      <c r="KC23" s="58" t="n"/>
      <c r="KD23" s="58" t="n"/>
      <c r="KE23" s="58" t="n"/>
      <c r="KF23" s="58" t="n"/>
      <c r="KG23" s="58" t="n"/>
      <c r="KH23" s="58" t="n"/>
      <c r="KI23" s="58" t="n"/>
      <c r="KJ23" s="49" t="n"/>
    </row>
    <row r="24" ht="35.1" customFormat="1" customHeight="1" s="14">
      <c r="A24" s="132" t="inlineStr">
        <is>
          <t>lkseokj</t>
        </is>
      </c>
      <c r="B24" s="114" t="inlineStr">
        <is>
          <t>20/04/2026</t>
        </is>
      </c>
      <c r="C24" s="108" t="n">
        <v>0</v>
      </c>
      <c r="D24" s="108">
        <f>C24</f>
        <v/>
      </c>
      <c r="E24" s="108" t="n">
        <v>0</v>
      </c>
      <c r="F24" s="108" t="n">
        <v>0</v>
      </c>
      <c r="G24" s="108" t="n">
        <v>0</v>
      </c>
      <c r="H24" s="108">
        <f>G24+F24+E24</f>
        <v/>
      </c>
      <c r="I24" s="132" t="inlineStr">
        <is>
          <t>lkseokj</t>
        </is>
      </c>
      <c r="J24" s="114" t="inlineStr">
        <is>
          <t>20/04/2026</t>
        </is>
      </c>
      <c r="K24" s="61">
        <f>D24</f>
        <v/>
      </c>
      <c r="L24" s="61">
        <f>H24</f>
        <v/>
      </c>
      <c r="M24" s="61">
        <f>SUM(K24:L24)</f>
        <v/>
      </c>
      <c r="N24" s="140" t="inlineStr">
        <is>
          <t>elqj nkG</t>
        </is>
      </c>
      <c r="O24" s="89" t="n"/>
      <c r="Q24" s="3" t="n">
        <v>20</v>
      </c>
      <c r="R24" s="114" t="inlineStr">
        <is>
          <t>20/04/2026</t>
        </is>
      </c>
      <c r="S24" s="11">
        <f>Z23</f>
        <v/>
      </c>
      <c r="T24" s="10" t="n">
        <v>0</v>
      </c>
      <c r="U24" s="8">
        <f>S24+T24</f>
        <v/>
      </c>
      <c r="V24" s="61">
        <f>K24</f>
        <v/>
      </c>
      <c r="W24" s="8" t="n">
        <v>0.1</v>
      </c>
      <c r="X24" s="10">
        <f>V24*W24</f>
        <v/>
      </c>
      <c r="Y24" s="10">
        <f>U24-X24</f>
        <v/>
      </c>
      <c r="Z24" s="11">
        <f>Y24</f>
        <v/>
      </c>
      <c r="AA24" s="3" t="n">
        <v>20</v>
      </c>
      <c r="AB24" s="18">
        <f>R24</f>
        <v/>
      </c>
      <c r="AC24" s="8">
        <f>AJ23</f>
        <v/>
      </c>
      <c r="AD24" s="10" t="n">
        <v>0</v>
      </c>
      <c r="AE24" s="8">
        <f>AC24+AD24</f>
        <v/>
      </c>
      <c r="AF24" s="61">
        <f>L24</f>
        <v/>
      </c>
      <c r="AG24" s="8" t="n">
        <v>0.15</v>
      </c>
      <c r="AH24" s="12">
        <f>AG24*AF24</f>
        <v/>
      </c>
      <c r="AI24" s="10">
        <f>AE24-AH24</f>
        <v/>
      </c>
      <c r="AJ24" s="11">
        <f>AI24</f>
        <v/>
      </c>
      <c r="AK24" s="10">
        <f>Z24+AJ24</f>
        <v/>
      </c>
      <c r="AM24" s="3" t="n">
        <v>20</v>
      </c>
      <c r="AN24" s="18">
        <f>AB24</f>
        <v/>
      </c>
      <c r="AO24" s="8">
        <f>AV23</f>
        <v/>
      </c>
      <c r="AP24" s="10" t="n">
        <v>0</v>
      </c>
      <c r="AQ24" s="8">
        <f>AO24+AP24</f>
        <v/>
      </c>
      <c r="AR24" s="61" t="n">
        <v>0</v>
      </c>
      <c r="AS24" s="8" t="n">
        <v>0.02</v>
      </c>
      <c r="AT24" s="10">
        <f>AR24*AS24</f>
        <v/>
      </c>
      <c r="AU24" s="10">
        <f>AQ24-AT24</f>
        <v/>
      </c>
      <c r="AV24" s="11">
        <f>AU24</f>
        <v/>
      </c>
      <c r="AW24" s="3" t="n">
        <v>20</v>
      </c>
      <c r="AX24" s="18">
        <f>AN24</f>
        <v/>
      </c>
      <c r="AY24" s="8">
        <f>BF23</f>
        <v/>
      </c>
      <c r="AZ24" s="10" t="n">
        <v>0</v>
      </c>
      <c r="BA24" s="8">
        <f>AY24+AZ24</f>
        <v/>
      </c>
      <c r="BB24" s="61" t="n">
        <v>0</v>
      </c>
      <c r="BC24" s="8" t="n">
        <v>0.03</v>
      </c>
      <c r="BD24" s="12">
        <f>BC24*BB24</f>
        <v/>
      </c>
      <c r="BE24" s="10">
        <f>BA24-BD24</f>
        <v/>
      </c>
      <c r="BF24" s="11">
        <f>BE24</f>
        <v/>
      </c>
      <c r="BG24" s="10">
        <f>AV24+BF24</f>
        <v/>
      </c>
      <c r="BI24" s="3" t="n">
        <v>20</v>
      </c>
      <c r="BJ24" s="18">
        <f>AX24</f>
        <v/>
      </c>
      <c r="BK24" s="8">
        <f>BR23</f>
        <v/>
      </c>
      <c r="BL24" s="10" t="n">
        <v>0</v>
      </c>
      <c r="BM24" s="8">
        <f>BK24+BL24</f>
        <v/>
      </c>
      <c r="BN24" s="61">
        <f>K24</f>
        <v/>
      </c>
      <c r="BO24" s="8" t="n">
        <v>0.02</v>
      </c>
      <c r="BP24" s="10">
        <f>BN24*BO24</f>
        <v/>
      </c>
      <c r="BQ24" s="10">
        <f>BM24-BP24</f>
        <v/>
      </c>
      <c r="BR24" s="11">
        <f>BQ24</f>
        <v/>
      </c>
      <c r="BS24" s="3" t="n">
        <v>20</v>
      </c>
      <c r="BT24" s="18">
        <f>BJ24</f>
        <v/>
      </c>
      <c r="BU24" s="8">
        <f>CB23</f>
        <v/>
      </c>
      <c r="BV24" s="10" t="n">
        <v>0</v>
      </c>
      <c r="BW24" s="8">
        <f>BU24+BV24</f>
        <v/>
      </c>
      <c r="BX24" s="61">
        <f>L24</f>
        <v/>
      </c>
      <c r="BY24" s="8" t="n">
        <v>0.03</v>
      </c>
      <c r="BZ24" s="12">
        <f>BY24*BX24</f>
        <v/>
      </c>
      <c r="CA24" s="10">
        <f>BW24-BZ24</f>
        <v/>
      </c>
      <c r="CB24" s="11">
        <f>CA24</f>
        <v/>
      </c>
      <c r="CC24" s="10">
        <f>BR24+CB24</f>
        <v/>
      </c>
      <c r="CE24" s="3" t="n">
        <v>20</v>
      </c>
      <c r="CF24" s="18">
        <f>BT24</f>
        <v/>
      </c>
      <c r="CG24" s="8">
        <f>CN23</f>
        <v/>
      </c>
      <c r="CH24" s="10" t="n">
        <v>0</v>
      </c>
      <c r="CI24" s="8">
        <f>CG24+CH24</f>
        <v/>
      </c>
      <c r="CJ24" s="61" t="n">
        <v>0</v>
      </c>
      <c r="CK24" s="8" t="n">
        <v>0.02</v>
      </c>
      <c r="CL24" s="10">
        <f>CJ24*CK24</f>
        <v/>
      </c>
      <c r="CM24" s="10">
        <f>CI24-CL24</f>
        <v/>
      </c>
      <c r="CN24" s="11">
        <f>CM24</f>
        <v/>
      </c>
      <c r="CO24" s="3" t="n">
        <v>20</v>
      </c>
      <c r="CP24" s="18">
        <f>CF24</f>
        <v/>
      </c>
      <c r="CQ24" s="8">
        <f>CX23</f>
        <v/>
      </c>
      <c r="CR24" s="10" t="n">
        <v>0</v>
      </c>
      <c r="CS24" s="8">
        <f>CQ24+CR24</f>
        <v/>
      </c>
      <c r="CT24" s="61" t="n">
        <v>0</v>
      </c>
      <c r="CU24" s="8" t="n">
        <v>0.03</v>
      </c>
      <c r="CV24" s="12">
        <f>CU24*CT24</f>
        <v/>
      </c>
      <c r="CW24" s="10">
        <f>CS24-CV24</f>
        <v/>
      </c>
      <c r="CX24" s="11">
        <f>CW24</f>
        <v/>
      </c>
      <c r="CY24" s="10">
        <f>CN24+CX24</f>
        <v/>
      </c>
      <c r="DA24" s="3" t="n">
        <v>20</v>
      </c>
      <c r="DB24" s="18">
        <f>CP24</f>
        <v/>
      </c>
      <c r="DC24" s="8">
        <f>DJ23</f>
        <v/>
      </c>
      <c r="DD24" s="10" t="n">
        <v>0</v>
      </c>
      <c r="DE24" s="8">
        <f>DC24+DD24</f>
        <v/>
      </c>
      <c r="DF24" s="61">
        <f>K24</f>
        <v/>
      </c>
      <c r="DG24" s="106" t="n">
        <v>0.0001</v>
      </c>
      <c r="DH24" s="10">
        <f>DF24*DG24</f>
        <v/>
      </c>
      <c r="DI24" s="10">
        <f>DE24-DH24</f>
        <v/>
      </c>
      <c r="DJ24" s="11">
        <f>DI24</f>
        <v/>
      </c>
      <c r="DK24" s="3" t="n">
        <v>20</v>
      </c>
      <c r="DL24" s="18">
        <f>DB24</f>
        <v/>
      </c>
      <c r="DM24" s="8">
        <f>DT23</f>
        <v/>
      </c>
      <c r="DN24" s="10" t="n">
        <v>0</v>
      </c>
      <c r="DO24" s="8">
        <f>DM24+DN24</f>
        <v/>
      </c>
      <c r="DP24" s="61">
        <f>L24</f>
        <v/>
      </c>
      <c r="DQ24" s="106" t="n">
        <v>0.0003</v>
      </c>
      <c r="DR24" s="12">
        <f>DQ24*DP24</f>
        <v/>
      </c>
      <c r="DS24" s="10">
        <f>DO24-DR24</f>
        <v/>
      </c>
      <c r="DT24" s="11">
        <f>DS24</f>
        <v/>
      </c>
      <c r="DU24" s="10">
        <f>DJ24+DT24</f>
        <v/>
      </c>
      <c r="DW24" s="3" t="n">
        <v>20</v>
      </c>
      <c r="DX24" s="18">
        <f>DL24</f>
        <v/>
      </c>
      <c r="DY24" s="8">
        <f>EF23</f>
        <v/>
      </c>
      <c r="DZ24" s="10" t="n">
        <v>0</v>
      </c>
      <c r="EA24" s="8">
        <f>DY24+DZ24</f>
        <v/>
      </c>
      <c r="EB24" s="61">
        <f>K24</f>
        <v/>
      </c>
      <c r="EC24" s="106" t="n">
        <v>0.0002</v>
      </c>
      <c r="ED24" s="10">
        <f>EB24*EC24</f>
        <v/>
      </c>
      <c r="EE24" s="10">
        <f>EA24-ED24</f>
        <v/>
      </c>
      <c r="EF24" s="11">
        <f>EE24</f>
        <v/>
      </c>
      <c r="EG24" s="3" t="n">
        <v>20</v>
      </c>
      <c r="EH24" s="18">
        <f>DX24</f>
        <v/>
      </c>
      <c r="EI24" s="8">
        <f>EP23</f>
        <v/>
      </c>
      <c r="EJ24" s="10" t="n">
        <v>0</v>
      </c>
      <c r="EK24" s="8">
        <f>EI24+EJ24</f>
        <v/>
      </c>
      <c r="EL24" s="61">
        <f>L24</f>
        <v/>
      </c>
      <c r="EM24" s="106" t="n">
        <v>0.0005999999999999999</v>
      </c>
      <c r="EN24" s="12">
        <f>EM24*EL24</f>
        <v/>
      </c>
      <c r="EO24" s="10">
        <f>EK24-EN24</f>
        <v/>
      </c>
      <c r="EP24" s="11">
        <f>EO24</f>
        <v/>
      </c>
      <c r="EQ24" s="10">
        <f>EF24+EP24</f>
        <v/>
      </c>
      <c r="ES24" s="3" t="n">
        <v>20</v>
      </c>
      <c r="ET24" s="18">
        <f>EH24</f>
        <v/>
      </c>
      <c r="EU24" s="8">
        <f>FB23</f>
        <v/>
      </c>
      <c r="EV24" s="10" t="n">
        <v>0</v>
      </c>
      <c r="EW24" s="8">
        <f>EU24+EV24</f>
        <v/>
      </c>
      <c r="EX24" s="61">
        <f>K24</f>
        <v/>
      </c>
      <c r="EY24" s="107" t="n">
        <v>0.002</v>
      </c>
      <c r="EZ24" s="10">
        <f>EX24*EY24</f>
        <v/>
      </c>
      <c r="FA24" s="10">
        <f>EW24-EZ24</f>
        <v/>
      </c>
      <c r="FB24" s="11">
        <f>FA24</f>
        <v/>
      </c>
      <c r="FC24" s="3" t="n">
        <v>20</v>
      </c>
      <c r="FD24" s="18">
        <f>ET24</f>
        <v/>
      </c>
      <c r="FE24" s="8">
        <f>FL23</f>
        <v/>
      </c>
      <c r="FF24" s="10" t="n">
        <v>0</v>
      </c>
      <c r="FG24" s="8">
        <f>FE24+FF24</f>
        <v/>
      </c>
      <c r="FH24" s="61">
        <f>L24</f>
        <v/>
      </c>
      <c r="FI24" s="107" t="n">
        <v>0.0025</v>
      </c>
      <c r="FJ24" s="12">
        <f>FI24*FH24</f>
        <v/>
      </c>
      <c r="FK24" s="10">
        <f>FG24-FJ24</f>
        <v/>
      </c>
      <c r="FL24" s="11">
        <f>FK24</f>
        <v/>
      </c>
      <c r="FM24" s="10">
        <f>FB24+FL24</f>
        <v/>
      </c>
      <c r="FO24" s="3" t="n">
        <v>20</v>
      </c>
      <c r="FP24" s="18">
        <f>FD24</f>
        <v/>
      </c>
      <c r="FQ24" s="8">
        <f>FX23</f>
        <v/>
      </c>
      <c r="FR24" s="10" t="n">
        <v>0</v>
      </c>
      <c r="FS24" s="8">
        <f>FQ24+FR24</f>
        <v/>
      </c>
      <c r="FT24" s="61">
        <f>K24</f>
        <v/>
      </c>
      <c r="FU24" s="8" t="n">
        <v>0.002</v>
      </c>
      <c r="FV24" s="10">
        <f>FT24*FU24</f>
        <v/>
      </c>
      <c r="FW24" s="10">
        <f>FS24-FV24</f>
        <v/>
      </c>
      <c r="FX24" s="11">
        <f>FW24</f>
        <v/>
      </c>
      <c r="FY24" s="3" t="n">
        <v>20</v>
      </c>
      <c r="FZ24" s="18">
        <f>FP24</f>
        <v/>
      </c>
      <c r="GA24" s="8">
        <f>GH23</f>
        <v/>
      </c>
      <c r="GB24" s="10" t="n">
        <v>0</v>
      </c>
      <c r="GC24" s="8">
        <f>GA24+GB24</f>
        <v/>
      </c>
      <c r="GD24" s="61">
        <f>L24</f>
        <v/>
      </c>
      <c r="GE24" s="8" t="n">
        <v>0.005</v>
      </c>
      <c r="GF24" s="12">
        <f>GE24*GD24</f>
        <v/>
      </c>
      <c r="GG24" s="10">
        <f>GC24-GF24</f>
        <v/>
      </c>
      <c r="GH24" s="11">
        <f>GG24</f>
        <v/>
      </c>
      <c r="GI24" s="10">
        <f>FX24+GH24</f>
        <v/>
      </c>
      <c r="GK24" s="3" t="n">
        <v>20</v>
      </c>
      <c r="GL24" s="18">
        <f>FZ24</f>
        <v/>
      </c>
      <c r="GM24" s="8">
        <f>GT23</f>
        <v/>
      </c>
      <c r="GN24" s="10" t="n">
        <v>0</v>
      </c>
      <c r="GO24" s="8">
        <f>GM24+GN24</f>
        <v/>
      </c>
      <c r="GP24" s="61">
        <f>K24</f>
        <v/>
      </c>
      <c r="GQ24" s="8" t="n">
        <v>0.005</v>
      </c>
      <c r="GR24" s="10">
        <f>GP24*GQ24</f>
        <v/>
      </c>
      <c r="GS24" s="10">
        <f>GO24-GR24</f>
        <v/>
      </c>
      <c r="GT24" s="11">
        <f>GS24</f>
        <v/>
      </c>
      <c r="GU24" s="3" t="n">
        <v>20</v>
      </c>
      <c r="GV24" s="18">
        <f>GL24</f>
        <v/>
      </c>
      <c r="GW24" s="8">
        <f>HD23</f>
        <v/>
      </c>
      <c r="GX24" s="10" t="n">
        <v>0</v>
      </c>
      <c r="GY24" s="8">
        <f>GW24+GX24</f>
        <v/>
      </c>
      <c r="GZ24" s="61">
        <f>L24</f>
        <v/>
      </c>
      <c r="HA24" s="8" t="n">
        <v>0.0075</v>
      </c>
      <c r="HB24" s="12">
        <f>HA24*GZ24</f>
        <v/>
      </c>
      <c r="HC24" s="10">
        <f>GY24-HB24</f>
        <v/>
      </c>
      <c r="HD24" s="11">
        <f>HC24</f>
        <v/>
      </c>
      <c r="HE24" s="10">
        <f>GT24+HD24</f>
        <v/>
      </c>
      <c r="HG24" s="3" t="n">
        <v>20</v>
      </c>
      <c r="HH24" s="18">
        <f>GV24</f>
        <v/>
      </c>
      <c r="HI24" s="61">
        <f>K24</f>
        <v/>
      </c>
      <c r="HJ24" s="22" t="n">
        <v>1</v>
      </c>
      <c r="HK24" s="23">
        <f>HI24*HJ24</f>
        <v/>
      </c>
      <c r="HL24" s="61" t="n">
        <v>0.89</v>
      </c>
      <c r="HM24" s="23">
        <f>HI24*HL24</f>
        <v/>
      </c>
      <c r="HN24" s="22" t="n">
        <v>0.7</v>
      </c>
      <c r="HO24" s="22">
        <f>HN24*HI24</f>
        <v/>
      </c>
      <c r="HP24" s="22" t="n">
        <v>2.59</v>
      </c>
      <c r="HQ24" s="9">
        <f>HI24*HP24</f>
        <v/>
      </c>
      <c r="HR24" s="3" t="n">
        <v>20</v>
      </c>
      <c r="HS24" s="13" t="inlineStr">
        <is>
          <t>20/7/2023</t>
        </is>
      </c>
      <c r="HT24" s="61">
        <f>L24</f>
        <v/>
      </c>
      <c r="HU24" s="22" t="n">
        <v>1.64</v>
      </c>
      <c r="HV24" s="23">
        <f>HT24*HU24</f>
        <v/>
      </c>
      <c r="HW24" s="61" t="n">
        <v>1.14</v>
      </c>
      <c r="HX24" s="23">
        <f>HT24*HW24</f>
        <v/>
      </c>
      <c r="HY24" s="22" t="n">
        <v>1.1</v>
      </c>
      <c r="HZ24" s="22">
        <f>HY24*HT24</f>
        <v/>
      </c>
      <c r="IA24" s="22" t="n">
        <v>3.11</v>
      </c>
      <c r="IB24" s="9">
        <f>HT24*IA24</f>
        <v/>
      </c>
      <c r="IC24" s="9">
        <f>HK24+HV24</f>
        <v/>
      </c>
      <c r="ID24" s="9">
        <f>HM24+HX24</f>
        <v/>
      </c>
      <c r="IE24" s="9">
        <f>HO24+HZ24</f>
        <v/>
      </c>
      <c r="IF24" s="52" t="n"/>
      <c r="IG24" s="109">
        <f>HH24</f>
        <v/>
      </c>
      <c r="IH24" s="132" t="inlineStr">
        <is>
          <t>eaxGokj</t>
        </is>
      </c>
      <c r="II24" s="140" t="inlineStr">
        <is>
          <t>okVk.kk</t>
        </is>
      </c>
      <c r="IJ24" s="105">
        <f>IJ23</f>
        <v/>
      </c>
      <c r="IK24" s="105">
        <f>IJ24</f>
        <v/>
      </c>
      <c r="IL24" s="105">
        <f>K24</f>
        <v/>
      </c>
      <c r="IM24" s="105">
        <f>IL24*100</f>
        <v/>
      </c>
      <c r="IN24" s="105" t="n"/>
      <c r="IO24" s="105">
        <f>IL24*20</f>
        <v/>
      </c>
      <c r="IP24" s="105" t="n"/>
      <c r="IQ24" s="105">
        <f>IL24*0.3</f>
        <v/>
      </c>
      <c r="IR24" s="105">
        <f>IL24*0.4</f>
        <v/>
      </c>
      <c r="IS24" s="105">
        <f>IL24*1.5</f>
        <v/>
      </c>
      <c r="IT24" s="105">
        <f>IL24*5</f>
        <v/>
      </c>
      <c r="IU24" s="105">
        <f>IL24*2</f>
        <v/>
      </c>
      <c r="IV24" s="105">
        <f>IL24*2.08</f>
        <v/>
      </c>
      <c r="IW24" s="13" t="n"/>
      <c r="IX24" s="105">
        <f>IL24*2.08</f>
        <v/>
      </c>
      <c r="IY24" s="13" t="n"/>
      <c r="IZ24" s="109">
        <f>IG24</f>
        <v/>
      </c>
      <c r="JA24" s="132" t="inlineStr">
        <is>
          <t>eaxGokj</t>
        </is>
      </c>
      <c r="JB24" s="140" t="inlineStr">
        <is>
          <t>okVk.kk</t>
        </is>
      </c>
      <c r="JC24" s="105">
        <f>JC23</f>
        <v/>
      </c>
      <c r="JD24" s="105">
        <f>JC24</f>
        <v/>
      </c>
      <c r="JE24" s="105">
        <f>L24</f>
        <v/>
      </c>
      <c r="JF24" s="105">
        <f>JE24*150</f>
        <v/>
      </c>
      <c r="JG24" s="105" t="n"/>
      <c r="JH24" s="105" t="n"/>
      <c r="JI24" s="105">
        <f>JE24*30</f>
        <v/>
      </c>
      <c r="JJ24" s="105">
        <f>JE24*0.25</f>
        <v/>
      </c>
      <c r="JK24" s="105">
        <f>JE24*0.4</f>
        <v/>
      </c>
      <c r="JL24" s="105">
        <f>JE24*2.5</f>
        <v/>
      </c>
      <c r="JM24" s="105">
        <f>JE24*7.5</f>
        <v/>
      </c>
      <c r="JN24" s="105">
        <f>JE24*4</f>
        <v/>
      </c>
      <c r="JO24" s="105">
        <f>JE24*3.11</f>
        <v/>
      </c>
      <c r="JP24" s="13" t="n"/>
      <c r="JQ24" s="105">
        <f>JE24*3.11</f>
        <v/>
      </c>
      <c r="JR24" s="13" t="n"/>
      <c r="JS24" s="52" t="n"/>
      <c r="JT24" s="59" t="n"/>
      <c r="JU24" s="57" t="n"/>
      <c r="JV24" s="58" t="n"/>
      <c r="JW24" s="58" t="n"/>
      <c r="JX24" s="58" t="n"/>
      <c r="JY24" s="58" t="n"/>
      <c r="JZ24" s="52" t="n"/>
      <c r="KA24" s="59" t="n"/>
      <c r="KB24" s="57" t="n"/>
      <c r="KC24" s="58" t="n"/>
      <c r="KD24" s="58" t="n"/>
      <c r="KE24" s="58" t="n"/>
      <c r="KF24" s="58" t="n"/>
      <c r="KG24" s="58" t="n"/>
      <c r="KH24" s="58" t="n"/>
      <c r="KI24" s="58" t="n"/>
      <c r="KJ24" s="49" t="n"/>
    </row>
    <row r="25" ht="35.1" customFormat="1" customHeight="1" s="14">
      <c r="A25" s="132" t="inlineStr">
        <is>
          <t>eaxGokj</t>
        </is>
      </c>
      <c r="B25" s="114" t="inlineStr">
        <is>
          <t>21/04/2026</t>
        </is>
      </c>
      <c r="C25" s="108" t="n">
        <v>0</v>
      </c>
      <c r="D25" s="108">
        <f>C25</f>
        <v/>
      </c>
      <c r="E25" s="108" t="n">
        <v>0</v>
      </c>
      <c r="F25" s="108" t="n">
        <v>0</v>
      </c>
      <c r="G25" s="108" t="n">
        <v>0</v>
      </c>
      <c r="H25" s="108">
        <f>G25+F25+E25</f>
        <v/>
      </c>
      <c r="I25" s="132" t="inlineStr">
        <is>
          <t>eaxGokj</t>
        </is>
      </c>
      <c r="J25" s="114" t="inlineStr">
        <is>
          <t>21/04/2026</t>
        </is>
      </c>
      <c r="K25" s="61">
        <f>D25</f>
        <v/>
      </c>
      <c r="L25" s="61">
        <f>H25</f>
        <v/>
      </c>
      <c r="M25" s="61">
        <f>SUM(K25:L25)</f>
        <v/>
      </c>
      <c r="N25" s="140" t="inlineStr">
        <is>
          <t>poGh</t>
        </is>
      </c>
      <c r="O25" s="89" t="n"/>
      <c r="Q25" s="3" t="n">
        <v>21</v>
      </c>
      <c r="R25" s="114" t="inlineStr">
        <is>
          <t>21/04/2026</t>
        </is>
      </c>
      <c r="S25" s="11">
        <f>Z24</f>
        <v/>
      </c>
      <c r="T25" s="10" t="n">
        <v>0</v>
      </c>
      <c r="U25" s="8">
        <f>S25+T25</f>
        <v/>
      </c>
      <c r="V25" s="61">
        <f>K25</f>
        <v/>
      </c>
      <c r="W25" s="8" t="n">
        <v>0.1</v>
      </c>
      <c r="X25" s="10">
        <f>V25*W25</f>
        <v/>
      </c>
      <c r="Y25" s="10">
        <f>U25-X25</f>
        <v/>
      </c>
      <c r="Z25" s="11">
        <f>Y25</f>
        <v/>
      </c>
      <c r="AA25" s="3" t="n">
        <v>21</v>
      </c>
      <c r="AB25" s="18">
        <f>R25</f>
        <v/>
      </c>
      <c r="AC25" s="8">
        <f>AJ24</f>
        <v/>
      </c>
      <c r="AD25" s="10" t="n">
        <v>0</v>
      </c>
      <c r="AE25" s="8">
        <f>AC25+AD25</f>
        <v/>
      </c>
      <c r="AF25" s="61">
        <f>L25</f>
        <v/>
      </c>
      <c r="AG25" s="8" t="n">
        <v>0.15</v>
      </c>
      <c r="AH25" s="12">
        <f>AG25*AF25</f>
        <v/>
      </c>
      <c r="AI25" s="10">
        <f>AE25-AH25</f>
        <v/>
      </c>
      <c r="AJ25" s="11">
        <f>AI25</f>
        <v/>
      </c>
      <c r="AK25" s="10">
        <f>Z25+AJ25</f>
        <v/>
      </c>
      <c r="AM25" s="3" t="n">
        <v>21</v>
      </c>
      <c r="AN25" s="18">
        <f>AB25</f>
        <v/>
      </c>
      <c r="AO25" s="8">
        <f>AV24</f>
        <v/>
      </c>
      <c r="AP25" s="10" t="n">
        <v>0</v>
      </c>
      <c r="AQ25" s="8">
        <f>AO25+AP25</f>
        <v/>
      </c>
      <c r="AR25" s="61">
        <f>K25</f>
        <v/>
      </c>
      <c r="AS25" s="8" t="n">
        <v>0.02</v>
      </c>
      <c r="AT25" s="10">
        <f>AR25*AS25</f>
        <v/>
      </c>
      <c r="AU25" s="10">
        <f>AQ25-AT25</f>
        <v/>
      </c>
      <c r="AV25" s="11">
        <f>AU25</f>
        <v/>
      </c>
      <c r="AW25" s="3" t="n">
        <v>21</v>
      </c>
      <c r="AX25" s="18">
        <f>AN25</f>
        <v/>
      </c>
      <c r="AY25" s="8">
        <f>BF24</f>
        <v/>
      </c>
      <c r="AZ25" s="10" t="n">
        <v>0</v>
      </c>
      <c r="BA25" s="8">
        <f>AY25+AZ25</f>
        <v/>
      </c>
      <c r="BB25" s="61">
        <f>L25</f>
        <v/>
      </c>
      <c r="BC25" s="8" t="n">
        <v>0.03</v>
      </c>
      <c r="BD25" s="12">
        <f>BC25*BB25</f>
        <v/>
      </c>
      <c r="BE25" s="10">
        <f>BA25-BD25</f>
        <v/>
      </c>
      <c r="BF25" s="11">
        <f>BE25</f>
        <v/>
      </c>
      <c r="BG25" s="10">
        <f>AV25+BF25</f>
        <v/>
      </c>
      <c r="BI25" s="3" t="n">
        <v>21</v>
      </c>
      <c r="BJ25" s="18">
        <f>AX25</f>
        <v/>
      </c>
      <c r="BK25" s="8">
        <f>BR24</f>
        <v/>
      </c>
      <c r="BL25" s="10" t="n">
        <v>0</v>
      </c>
      <c r="BM25" s="8">
        <f>BK25+BL25</f>
        <v/>
      </c>
      <c r="BN25" s="61" t="n">
        <v>0</v>
      </c>
      <c r="BO25" s="8" t="n">
        <v>0.02</v>
      </c>
      <c r="BP25" s="10">
        <f>BN25*BO25</f>
        <v/>
      </c>
      <c r="BQ25" s="10">
        <f>BM25-BP25</f>
        <v/>
      </c>
      <c r="BR25" s="11">
        <f>BQ25</f>
        <v/>
      </c>
      <c r="BS25" s="3" t="n">
        <v>21</v>
      </c>
      <c r="BT25" s="18">
        <f>BJ25</f>
        <v/>
      </c>
      <c r="BU25" s="8">
        <f>CB24</f>
        <v/>
      </c>
      <c r="BV25" s="10" t="n">
        <v>0</v>
      </c>
      <c r="BW25" s="8">
        <f>BU25+BV25</f>
        <v/>
      </c>
      <c r="BX25" s="61" t="n">
        <v>0</v>
      </c>
      <c r="BY25" s="8" t="n">
        <v>0.03</v>
      </c>
      <c r="BZ25" s="12">
        <f>BY25*BX25</f>
        <v/>
      </c>
      <c r="CA25" s="10">
        <f>BW25-BZ25</f>
        <v/>
      </c>
      <c r="CB25" s="11">
        <f>CA25</f>
        <v/>
      </c>
      <c r="CC25" s="10">
        <f>BR25+CB25</f>
        <v/>
      </c>
      <c r="CE25" s="3" t="n">
        <v>21</v>
      </c>
      <c r="CF25" s="18">
        <f>BT25</f>
        <v/>
      </c>
      <c r="CG25" s="8">
        <f>CN24</f>
        <v/>
      </c>
      <c r="CH25" s="10" t="n">
        <v>0</v>
      </c>
      <c r="CI25" s="8">
        <f>CG25+CH25</f>
        <v/>
      </c>
      <c r="CJ25" s="61" t="n">
        <v>0</v>
      </c>
      <c r="CK25" s="8" t="n">
        <v>0.02</v>
      </c>
      <c r="CL25" s="10">
        <f>CJ25*CK25</f>
        <v/>
      </c>
      <c r="CM25" s="10">
        <f>CI25-CL25</f>
        <v/>
      </c>
      <c r="CN25" s="11">
        <f>CM25</f>
        <v/>
      </c>
      <c r="CO25" s="3" t="n">
        <v>21</v>
      </c>
      <c r="CP25" s="18">
        <f>CF25</f>
        <v/>
      </c>
      <c r="CQ25" s="8">
        <f>CX24</f>
        <v/>
      </c>
      <c r="CR25" s="10" t="n">
        <v>0</v>
      </c>
      <c r="CS25" s="8">
        <f>CQ25+CR25</f>
        <v/>
      </c>
      <c r="CT25" s="61" t="n">
        <v>0</v>
      </c>
      <c r="CU25" s="8" t="n">
        <v>0.03</v>
      </c>
      <c r="CV25" s="12">
        <f>CU25*CT25</f>
        <v/>
      </c>
      <c r="CW25" s="10">
        <f>CS25-CV25</f>
        <v/>
      </c>
      <c r="CX25" s="11">
        <f>CW25</f>
        <v/>
      </c>
      <c r="CY25" s="10">
        <f>CN25+CX25</f>
        <v/>
      </c>
      <c r="DA25" s="3" t="n">
        <v>21</v>
      </c>
      <c r="DB25" s="18">
        <f>CP25</f>
        <v/>
      </c>
      <c r="DC25" s="8">
        <f>DJ24</f>
        <v/>
      </c>
      <c r="DD25" s="10" t="n">
        <v>0</v>
      </c>
      <c r="DE25" s="8">
        <f>DC25+DD25</f>
        <v/>
      </c>
      <c r="DF25" s="61">
        <f>K25</f>
        <v/>
      </c>
      <c r="DG25" s="106" t="n">
        <v>0.0001</v>
      </c>
      <c r="DH25" s="10">
        <f>DF25*DG25</f>
        <v/>
      </c>
      <c r="DI25" s="10">
        <f>DE25-DH25</f>
        <v/>
      </c>
      <c r="DJ25" s="11">
        <f>DI25</f>
        <v/>
      </c>
      <c r="DK25" s="3" t="n">
        <v>21</v>
      </c>
      <c r="DL25" s="18">
        <f>DB25</f>
        <v/>
      </c>
      <c r="DM25" s="8">
        <f>DT24</f>
        <v/>
      </c>
      <c r="DN25" s="10" t="n">
        <v>0</v>
      </c>
      <c r="DO25" s="8">
        <f>DM25+DN25</f>
        <v/>
      </c>
      <c r="DP25" s="61">
        <f>L25</f>
        <v/>
      </c>
      <c r="DQ25" s="106" t="n">
        <v>0.0003</v>
      </c>
      <c r="DR25" s="12">
        <f>DQ25*DP25</f>
        <v/>
      </c>
      <c r="DS25" s="10">
        <f>DO25-DR25</f>
        <v/>
      </c>
      <c r="DT25" s="11">
        <f>DS25</f>
        <v/>
      </c>
      <c r="DU25" s="10">
        <f>DJ25+DT25</f>
        <v/>
      </c>
      <c r="DW25" s="3" t="n">
        <v>21</v>
      </c>
      <c r="DX25" s="18">
        <f>DL25</f>
        <v/>
      </c>
      <c r="DY25" s="8">
        <f>EF24</f>
        <v/>
      </c>
      <c r="DZ25" s="10" t="n">
        <v>0</v>
      </c>
      <c r="EA25" s="8">
        <f>DY25+DZ25</f>
        <v/>
      </c>
      <c r="EB25" s="61">
        <f>K25</f>
        <v/>
      </c>
      <c r="EC25" s="106" t="n">
        <v>0.0002</v>
      </c>
      <c r="ED25" s="10">
        <f>EB25*EC25</f>
        <v/>
      </c>
      <c r="EE25" s="10">
        <f>EA25-ED25</f>
        <v/>
      </c>
      <c r="EF25" s="11">
        <f>EE25</f>
        <v/>
      </c>
      <c r="EG25" s="3" t="n">
        <v>21</v>
      </c>
      <c r="EH25" s="18">
        <f>DX25</f>
        <v/>
      </c>
      <c r="EI25" s="8">
        <f>EP24</f>
        <v/>
      </c>
      <c r="EJ25" s="10" t="n">
        <v>0</v>
      </c>
      <c r="EK25" s="8">
        <f>EI25+EJ25</f>
        <v/>
      </c>
      <c r="EL25" s="61">
        <f>L25</f>
        <v/>
      </c>
      <c r="EM25" s="106" t="n">
        <v>0.0005999999999999999</v>
      </c>
      <c r="EN25" s="12">
        <f>EM25*EL25</f>
        <v/>
      </c>
      <c r="EO25" s="10">
        <f>EK25-EN25</f>
        <v/>
      </c>
      <c r="EP25" s="11">
        <f>EO25</f>
        <v/>
      </c>
      <c r="EQ25" s="10">
        <f>EF25+EP25</f>
        <v/>
      </c>
      <c r="ES25" s="3" t="n">
        <v>21</v>
      </c>
      <c r="ET25" s="18">
        <f>EH25</f>
        <v/>
      </c>
      <c r="EU25" s="8">
        <f>FB24</f>
        <v/>
      </c>
      <c r="EV25" s="10" t="n">
        <v>0</v>
      </c>
      <c r="EW25" s="8">
        <f>EU25+EV25</f>
        <v/>
      </c>
      <c r="EX25" s="61">
        <f>K25</f>
        <v/>
      </c>
      <c r="EY25" s="107" t="n">
        <v>0.002</v>
      </c>
      <c r="EZ25" s="10">
        <f>EX25*EY25</f>
        <v/>
      </c>
      <c r="FA25" s="10">
        <f>EW25-EZ25</f>
        <v/>
      </c>
      <c r="FB25" s="11">
        <f>FA25</f>
        <v/>
      </c>
      <c r="FC25" s="3" t="n">
        <v>21</v>
      </c>
      <c r="FD25" s="18">
        <f>ET25</f>
        <v/>
      </c>
      <c r="FE25" s="8">
        <f>FL24</f>
        <v/>
      </c>
      <c r="FF25" s="10" t="n">
        <v>0</v>
      </c>
      <c r="FG25" s="8">
        <f>FE25+FF25</f>
        <v/>
      </c>
      <c r="FH25" s="61">
        <f>L25</f>
        <v/>
      </c>
      <c r="FI25" s="107" t="n">
        <v>0.0025</v>
      </c>
      <c r="FJ25" s="12">
        <f>FI25*FH25</f>
        <v/>
      </c>
      <c r="FK25" s="10">
        <f>FG25-FJ25</f>
        <v/>
      </c>
      <c r="FL25" s="11">
        <f>FK25</f>
        <v/>
      </c>
      <c r="FM25" s="10">
        <f>FB25+FL25</f>
        <v/>
      </c>
      <c r="FO25" s="3" t="n">
        <v>21</v>
      </c>
      <c r="FP25" s="18">
        <f>FD25</f>
        <v/>
      </c>
      <c r="FQ25" s="8">
        <f>FX24</f>
        <v/>
      </c>
      <c r="FR25" s="10" t="n">
        <v>0</v>
      </c>
      <c r="FS25" s="8">
        <f>FQ25+FR25</f>
        <v/>
      </c>
      <c r="FT25" s="61">
        <f>K25</f>
        <v/>
      </c>
      <c r="FU25" s="8" t="n">
        <v>0.002</v>
      </c>
      <c r="FV25" s="10">
        <f>FT25*FU25</f>
        <v/>
      </c>
      <c r="FW25" s="10">
        <f>FS25-FV25</f>
        <v/>
      </c>
      <c r="FX25" s="11">
        <f>FW25</f>
        <v/>
      </c>
      <c r="FY25" s="3" t="n">
        <v>21</v>
      </c>
      <c r="FZ25" s="18">
        <f>FP25</f>
        <v/>
      </c>
      <c r="GA25" s="8">
        <f>GH24</f>
        <v/>
      </c>
      <c r="GB25" s="10" t="n">
        <v>0</v>
      </c>
      <c r="GC25" s="8">
        <f>GA25+GB25</f>
        <v/>
      </c>
      <c r="GD25" s="61">
        <f>L25</f>
        <v/>
      </c>
      <c r="GE25" s="8" t="n">
        <v>0.005</v>
      </c>
      <c r="GF25" s="12">
        <f>GE25*GD25</f>
        <v/>
      </c>
      <c r="GG25" s="10">
        <f>GC25-GF25</f>
        <v/>
      </c>
      <c r="GH25" s="11">
        <f>GG25</f>
        <v/>
      </c>
      <c r="GI25" s="10">
        <f>FX25+GH25</f>
        <v/>
      </c>
      <c r="GK25" s="3" t="n">
        <v>21</v>
      </c>
      <c r="GL25" s="18">
        <f>FZ25</f>
        <v/>
      </c>
      <c r="GM25" s="8">
        <f>GT24</f>
        <v/>
      </c>
      <c r="GN25" s="10" t="n">
        <v>0</v>
      </c>
      <c r="GO25" s="8">
        <f>GM25+GN25</f>
        <v/>
      </c>
      <c r="GP25" s="61">
        <f>K25</f>
        <v/>
      </c>
      <c r="GQ25" s="8" t="n">
        <v>0.005</v>
      </c>
      <c r="GR25" s="10">
        <f>GP25*GQ25</f>
        <v/>
      </c>
      <c r="GS25" s="10">
        <f>GO25-GR25</f>
        <v/>
      </c>
      <c r="GT25" s="11">
        <f>GS25</f>
        <v/>
      </c>
      <c r="GU25" s="3" t="n">
        <v>21</v>
      </c>
      <c r="GV25" s="18">
        <f>GL25</f>
        <v/>
      </c>
      <c r="GW25" s="8">
        <f>HD24</f>
        <v/>
      </c>
      <c r="GX25" s="10" t="n">
        <v>0</v>
      </c>
      <c r="GY25" s="8">
        <f>GW25+GX25</f>
        <v/>
      </c>
      <c r="GZ25" s="61">
        <f>L25</f>
        <v/>
      </c>
      <c r="HA25" s="8" t="n">
        <v>0.0075</v>
      </c>
      <c r="HB25" s="12">
        <f>HA25*GZ25</f>
        <v/>
      </c>
      <c r="HC25" s="10">
        <f>GY25-HB25</f>
        <v/>
      </c>
      <c r="HD25" s="11">
        <f>HC25</f>
        <v/>
      </c>
      <c r="HE25" s="10">
        <f>GT25+HD25</f>
        <v/>
      </c>
      <c r="HG25" s="3" t="n">
        <v>21</v>
      </c>
      <c r="HH25" s="18">
        <f>GV25</f>
        <v/>
      </c>
      <c r="HI25" s="61">
        <f>K25</f>
        <v/>
      </c>
      <c r="HJ25" s="22" t="n">
        <v>1</v>
      </c>
      <c r="HK25" s="23">
        <f>HI25*HJ25</f>
        <v/>
      </c>
      <c r="HL25" s="61" t="n">
        <v>0.89</v>
      </c>
      <c r="HM25" s="23">
        <f>HI25*HL25</f>
        <v/>
      </c>
      <c r="HN25" s="22" t="n">
        <v>0.7</v>
      </c>
      <c r="HO25" s="22">
        <f>HN25*HI25</f>
        <v/>
      </c>
      <c r="HP25" s="22" t="n">
        <v>2.59</v>
      </c>
      <c r="HQ25" s="9">
        <f>HI25*HP25</f>
        <v/>
      </c>
      <c r="HR25" s="3" t="n">
        <v>21</v>
      </c>
      <c r="HS25" s="13" t="inlineStr">
        <is>
          <t>21/7/2023</t>
        </is>
      </c>
      <c r="HT25" s="61">
        <f>L25</f>
        <v/>
      </c>
      <c r="HU25" s="22" t="n">
        <v>1.64</v>
      </c>
      <c r="HV25" s="23">
        <f>HT25*HU25</f>
        <v/>
      </c>
      <c r="HW25" s="61" t="n">
        <v>1.14</v>
      </c>
      <c r="HX25" s="23">
        <f>HT25*HW25</f>
        <v/>
      </c>
      <c r="HY25" s="22" t="n">
        <v>1.1</v>
      </c>
      <c r="HZ25" s="22">
        <f>HY25*HT25</f>
        <v/>
      </c>
      <c r="IA25" s="22" t="n">
        <v>3.11</v>
      </c>
      <c r="IB25" s="9">
        <f>HT25*IA25</f>
        <v/>
      </c>
      <c r="IC25" s="9">
        <f>HK25+HV25</f>
        <v/>
      </c>
      <c r="ID25" s="9">
        <f>HM25+HX25</f>
        <v/>
      </c>
      <c r="IE25" s="9">
        <f>HO25+HZ25</f>
        <v/>
      </c>
      <c r="IF25" s="52" t="n"/>
      <c r="IG25" s="109">
        <f>HH25</f>
        <v/>
      </c>
      <c r="IH25" s="132" t="inlineStr">
        <is>
          <t>cq/kokj</t>
        </is>
      </c>
      <c r="II25" s="140" t="inlineStr">
        <is>
          <t>gjcjk</t>
        </is>
      </c>
      <c r="IJ25" s="105">
        <f>IJ24</f>
        <v/>
      </c>
      <c r="IK25" s="105">
        <f>IJ25</f>
        <v/>
      </c>
      <c r="IL25" s="105">
        <f>K25</f>
        <v/>
      </c>
      <c r="IM25" s="105">
        <f>IL25*100</f>
        <v/>
      </c>
      <c r="IN25" s="105" t="n"/>
      <c r="IO25" s="105" t="n"/>
      <c r="IP25" s="105">
        <f>IL25*20</f>
        <v/>
      </c>
      <c r="IQ25" s="105">
        <f>IL25*0.3</f>
        <v/>
      </c>
      <c r="IR25" s="105">
        <f>IL25*0.4</f>
        <v/>
      </c>
      <c r="IS25" s="105">
        <f>IL25*1.5</f>
        <v/>
      </c>
      <c r="IT25" s="105">
        <f>IL25*5</f>
        <v/>
      </c>
      <c r="IU25" s="105">
        <f>IL25*2</f>
        <v/>
      </c>
      <c r="IV25" s="105">
        <f>IL25*2.08</f>
        <v/>
      </c>
      <c r="IW25" s="13" t="n"/>
      <c r="IX25" s="105">
        <f>IL25*2.08</f>
        <v/>
      </c>
      <c r="IY25" s="13" t="n"/>
      <c r="IZ25" s="109">
        <f>IG25</f>
        <v/>
      </c>
      <c r="JA25" s="132" t="inlineStr">
        <is>
          <t>cq/kokj</t>
        </is>
      </c>
      <c r="JB25" s="140" t="inlineStr">
        <is>
          <t>gjcjk</t>
        </is>
      </c>
      <c r="JC25" s="105">
        <f>JC24</f>
        <v/>
      </c>
      <c r="JD25" s="105">
        <f>JC25</f>
        <v/>
      </c>
      <c r="JE25" s="105">
        <f>L25</f>
        <v/>
      </c>
      <c r="JF25" s="105">
        <f>JE25*150</f>
        <v/>
      </c>
      <c r="JG25" s="105" t="n"/>
      <c r="JH25" s="13" t="n"/>
      <c r="JI25" s="13" t="n"/>
      <c r="JJ25" s="105">
        <f>JE25*0.25</f>
        <v/>
      </c>
      <c r="JK25" s="105">
        <f>JE25*0.4</f>
        <v/>
      </c>
      <c r="JL25" s="105">
        <f>JE25*2.5</f>
        <v/>
      </c>
      <c r="JM25" s="105">
        <f>JE25*7.5</f>
        <v/>
      </c>
      <c r="JN25" s="105">
        <f>JE25*4</f>
        <v/>
      </c>
      <c r="JO25" s="105">
        <f>JE25*3.11</f>
        <v/>
      </c>
      <c r="JP25" s="13" t="n"/>
      <c r="JQ25" s="105">
        <f>JE25*3.11</f>
        <v/>
      </c>
      <c r="JR25" s="13" t="n"/>
      <c r="JS25" s="52" t="n"/>
      <c r="JT25" s="52" t="n"/>
      <c r="JU25" s="52" t="n"/>
      <c r="JV25" s="52" t="n"/>
      <c r="JW25" s="52" t="n"/>
      <c r="JX25" s="52" t="n"/>
      <c r="JY25" s="52" t="n"/>
      <c r="JZ25" s="52" t="n"/>
      <c r="KA25" s="52" t="n"/>
      <c r="KB25" s="52" t="n"/>
      <c r="KC25" s="52" t="n"/>
      <c r="KD25" s="52" t="n"/>
      <c r="KE25" s="52" t="n"/>
      <c r="KF25" s="52" t="n"/>
      <c r="KG25" s="52" t="n"/>
      <c r="KH25" s="52" t="n"/>
      <c r="KI25" s="52" t="n"/>
    </row>
    <row r="26" ht="35.1" customFormat="1" customHeight="1" s="14">
      <c r="A26" s="132" t="inlineStr">
        <is>
          <t>cq/kokj</t>
        </is>
      </c>
      <c r="B26" s="114" t="inlineStr">
        <is>
          <t>22/04/2026</t>
        </is>
      </c>
      <c r="C26" s="108" t="n">
        <v>0</v>
      </c>
      <c r="D26" s="108">
        <f>C26</f>
        <v/>
      </c>
      <c r="E26" s="108" t="n">
        <v>0</v>
      </c>
      <c r="F26" s="108" t="n">
        <v>0</v>
      </c>
      <c r="G26" s="108" t="n">
        <v>0</v>
      </c>
      <c r="H26" s="108">
        <f>G26+F26+E26</f>
        <v/>
      </c>
      <c r="I26" s="132" t="inlineStr">
        <is>
          <t>cq/kokj</t>
        </is>
      </c>
      <c r="J26" s="114" t="inlineStr">
        <is>
          <t>22/04/2026</t>
        </is>
      </c>
      <c r="K26" s="61">
        <f>D26</f>
        <v/>
      </c>
      <c r="L26" s="61">
        <f>H26</f>
        <v/>
      </c>
      <c r="M26" s="61">
        <f>SUM(K26:L26)</f>
        <v/>
      </c>
      <c r="N26" s="140" t="inlineStr">
        <is>
          <t>gjcjk</t>
        </is>
      </c>
      <c r="O26" s="89" t="n"/>
      <c r="Q26" s="3" t="n">
        <v>22</v>
      </c>
      <c r="R26" s="114" t="inlineStr">
        <is>
          <t>22/04/2026</t>
        </is>
      </c>
      <c r="S26" s="11">
        <f>Z25</f>
        <v/>
      </c>
      <c r="T26" s="10" t="n">
        <v>0</v>
      </c>
      <c r="U26" s="8">
        <f>S26+T26</f>
        <v/>
      </c>
      <c r="V26" s="61">
        <f>K26</f>
        <v/>
      </c>
      <c r="W26" s="8" t="n">
        <v>0.1</v>
      </c>
      <c r="X26" s="10">
        <f>V26*W26</f>
        <v/>
      </c>
      <c r="Y26" s="10">
        <f>U26-X26</f>
        <v/>
      </c>
      <c r="Z26" s="11">
        <f>Y26</f>
        <v/>
      </c>
      <c r="AA26" s="3" t="n">
        <v>22</v>
      </c>
      <c r="AB26" s="18">
        <f>R26</f>
        <v/>
      </c>
      <c r="AC26" s="8">
        <f>AJ25</f>
        <v/>
      </c>
      <c r="AD26" s="10" t="n">
        <v>0</v>
      </c>
      <c r="AE26" s="8">
        <f>AC26+AD26</f>
        <v/>
      </c>
      <c r="AF26" s="61">
        <f>L26</f>
        <v/>
      </c>
      <c r="AG26" s="8" t="n">
        <v>0.15</v>
      </c>
      <c r="AH26" s="12">
        <f>AG26*AF26</f>
        <v/>
      </c>
      <c r="AI26" s="10">
        <f>AE26-AH26</f>
        <v/>
      </c>
      <c r="AJ26" s="11">
        <f>AI26</f>
        <v/>
      </c>
      <c r="AK26" s="10">
        <f>Z26+AJ26</f>
        <v/>
      </c>
      <c r="AM26" s="3" t="n">
        <v>22</v>
      </c>
      <c r="AN26" s="18">
        <f>AB26</f>
        <v/>
      </c>
      <c r="AO26" s="8">
        <f>AV25</f>
        <v/>
      </c>
      <c r="AP26" s="10" t="n">
        <v>0</v>
      </c>
      <c r="AQ26" s="8">
        <f>AO26+AP26</f>
        <v/>
      </c>
      <c r="AR26" s="61" t="n">
        <v>0</v>
      </c>
      <c r="AS26" s="8" t="n">
        <v>0.02</v>
      </c>
      <c r="AT26" s="10">
        <f>AR26*AS26</f>
        <v/>
      </c>
      <c r="AU26" s="10">
        <f>AQ26-AT26</f>
        <v/>
      </c>
      <c r="AV26" s="11">
        <f>AU26</f>
        <v/>
      </c>
      <c r="AW26" s="3" t="n">
        <v>22</v>
      </c>
      <c r="AX26" s="18">
        <f>AN26</f>
        <v/>
      </c>
      <c r="AY26" s="8">
        <f>BF25</f>
        <v/>
      </c>
      <c r="AZ26" s="10" t="n">
        <v>0</v>
      </c>
      <c r="BA26" s="8">
        <f>AY26+AZ26</f>
        <v/>
      </c>
      <c r="BB26" s="61" t="n">
        <v>0</v>
      </c>
      <c r="BC26" s="8" t="n">
        <v>0.03</v>
      </c>
      <c r="BD26" s="12">
        <f>BC26*BB26</f>
        <v/>
      </c>
      <c r="BE26" s="10">
        <f>BA26-BD26</f>
        <v/>
      </c>
      <c r="BF26" s="11">
        <f>BE26</f>
        <v/>
      </c>
      <c r="BG26" s="10">
        <f>AV26+BF26</f>
        <v/>
      </c>
      <c r="BI26" s="3" t="n">
        <v>22</v>
      </c>
      <c r="BJ26" s="18">
        <f>AX26</f>
        <v/>
      </c>
      <c r="BK26" s="8">
        <f>BR25</f>
        <v/>
      </c>
      <c r="BL26" s="10" t="n">
        <v>0</v>
      </c>
      <c r="BM26" s="8">
        <f>BK26+BL26</f>
        <v/>
      </c>
      <c r="BN26" s="61" t="n">
        <v>0</v>
      </c>
      <c r="BO26" s="8" t="n">
        <v>0.02</v>
      </c>
      <c r="BP26" s="10">
        <f>BN26*BO26</f>
        <v/>
      </c>
      <c r="BQ26" s="10">
        <f>BM26-BP26</f>
        <v/>
      </c>
      <c r="BR26" s="11">
        <f>BQ26</f>
        <v/>
      </c>
      <c r="BS26" s="3" t="n">
        <v>22</v>
      </c>
      <c r="BT26" s="18">
        <f>BJ26</f>
        <v/>
      </c>
      <c r="BU26" s="8">
        <f>CB25</f>
        <v/>
      </c>
      <c r="BV26" s="10" t="n">
        <v>0</v>
      </c>
      <c r="BW26" s="8">
        <f>BU26+BV26</f>
        <v/>
      </c>
      <c r="BX26" s="61" t="n">
        <v>0</v>
      </c>
      <c r="BY26" s="8" t="n">
        <v>0.03</v>
      </c>
      <c r="BZ26" s="12">
        <f>BY26*BX26</f>
        <v/>
      </c>
      <c r="CA26" s="10">
        <f>BW26-BZ26</f>
        <v/>
      </c>
      <c r="CB26" s="11">
        <f>CA26</f>
        <v/>
      </c>
      <c r="CC26" s="10">
        <f>BR26+CB26</f>
        <v/>
      </c>
      <c r="CE26" s="3" t="n">
        <v>22</v>
      </c>
      <c r="CF26" s="18">
        <f>BT26</f>
        <v/>
      </c>
      <c r="CG26" s="8">
        <f>CN25</f>
        <v/>
      </c>
      <c r="CH26" s="10" t="n">
        <v>0</v>
      </c>
      <c r="CI26" s="8">
        <f>CG26+CH26</f>
        <v/>
      </c>
      <c r="CJ26" s="61">
        <f>K26</f>
        <v/>
      </c>
      <c r="CK26" s="8" t="n">
        <v>0.02</v>
      </c>
      <c r="CL26" s="10">
        <f>CJ26*CK26</f>
        <v/>
      </c>
      <c r="CM26" s="10">
        <f>CI26-CL26</f>
        <v/>
      </c>
      <c r="CN26" s="11">
        <f>CM26</f>
        <v/>
      </c>
      <c r="CO26" s="3" t="n">
        <v>22</v>
      </c>
      <c r="CP26" s="18">
        <f>CF26</f>
        <v/>
      </c>
      <c r="CQ26" s="8">
        <f>CX25</f>
        <v/>
      </c>
      <c r="CR26" s="10" t="n">
        <v>0</v>
      </c>
      <c r="CS26" s="8">
        <f>CQ26+CR26</f>
        <v/>
      </c>
      <c r="CT26" s="61">
        <f>L26</f>
        <v/>
      </c>
      <c r="CU26" s="8" t="n">
        <v>0.03</v>
      </c>
      <c r="CV26" s="12">
        <f>CU26*CT26</f>
        <v/>
      </c>
      <c r="CW26" s="10">
        <f>CS26-CV26</f>
        <v/>
      </c>
      <c r="CX26" s="11">
        <f>CW26</f>
        <v/>
      </c>
      <c r="CY26" s="10">
        <f>CN26+CX26</f>
        <v/>
      </c>
      <c r="DA26" s="3" t="n">
        <v>22</v>
      </c>
      <c r="DB26" s="18">
        <f>CP26</f>
        <v/>
      </c>
      <c r="DC26" s="8">
        <f>DJ25</f>
        <v/>
      </c>
      <c r="DD26" s="10" t="n">
        <v>0</v>
      </c>
      <c r="DE26" s="8">
        <f>DC26+DD26</f>
        <v/>
      </c>
      <c r="DF26" s="61">
        <f>K26</f>
        <v/>
      </c>
      <c r="DG26" s="106" t="n">
        <v>0.0001</v>
      </c>
      <c r="DH26" s="10">
        <f>DF26*DG26</f>
        <v/>
      </c>
      <c r="DI26" s="10">
        <f>DE26-DH26</f>
        <v/>
      </c>
      <c r="DJ26" s="11">
        <f>DI26</f>
        <v/>
      </c>
      <c r="DK26" s="3" t="n">
        <v>22</v>
      </c>
      <c r="DL26" s="18">
        <f>DB26</f>
        <v/>
      </c>
      <c r="DM26" s="8">
        <f>DT25</f>
        <v/>
      </c>
      <c r="DN26" s="10" t="n">
        <v>0</v>
      </c>
      <c r="DO26" s="8">
        <f>DM26+DN26</f>
        <v/>
      </c>
      <c r="DP26" s="61">
        <f>L26</f>
        <v/>
      </c>
      <c r="DQ26" s="106" t="n">
        <v>0.0003</v>
      </c>
      <c r="DR26" s="12">
        <f>DQ26*DP26</f>
        <v/>
      </c>
      <c r="DS26" s="10">
        <f>DO26-DR26</f>
        <v/>
      </c>
      <c r="DT26" s="11">
        <f>DS26</f>
        <v/>
      </c>
      <c r="DU26" s="10">
        <f>DJ26+DT26</f>
        <v/>
      </c>
      <c r="DW26" s="3" t="n">
        <v>22</v>
      </c>
      <c r="DX26" s="18">
        <f>DL26</f>
        <v/>
      </c>
      <c r="DY26" s="8">
        <f>EF25</f>
        <v/>
      </c>
      <c r="DZ26" s="10" t="n">
        <v>0</v>
      </c>
      <c r="EA26" s="8">
        <f>DY26+DZ26</f>
        <v/>
      </c>
      <c r="EB26" s="61">
        <f>K26</f>
        <v/>
      </c>
      <c r="EC26" s="106" t="n">
        <v>0.0002</v>
      </c>
      <c r="ED26" s="10">
        <f>EB26*EC26</f>
        <v/>
      </c>
      <c r="EE26" s="10">
        <f>EA26-ED26</f>
        <v/>
      </c>
      <c r="EF26" s="11">
        <f>EE26</f>
        <v/>
      </c>
      <c r="EG26" s="3" t="n">
        <v>22</v>
      </c>
      <c r="EH26" s="18">
        <f>DX26</f>
        <v/>
      </c>
      <c r="EI26" s="8">
        <f>EP25</f>
        <v/>
      </c>
      <c r="EJ26" s="10" t="n">
        <v>0</v>
      </c>
      <c r="EK26" s="8">
        <f>EI26+EJ26</f>
        <v/>
      </c>
      <c r="EL26" s="61">
        <f>L26</f>
        <v/>
      </c>
      <c r="EM26" s="106" t="n">
        <v>0.0005999999999999999</v>
      </c>
      <c r="EN26" s="12">
        <f>EM26*EL26</f>
        <v/>
      </c>
      <c r="EO26" s="10">
        <f>EK26-EN26</f>
        <v/>
      </c>
      <c r="EP26" s="11">
        <f>EO26</f>
        <v/>
      </c>
      <c r="EQ26" s="10">
        <f>EF26+EP26</f>
        <v/>
      </c>
      <c r="ES26" s="3" t="n">
        <v>22</v>
      </c>
      <c r="ET26" s="18">
        <f>EH26</f>
        <v/>
      </c>
      <c r="EU26" s="8">
        <f>FB25</f>
        <v/>
      </c>
      <c r="EV26" s="10" t="n">
        <v>0</v>
      </c>
      <c r="EW26" s="8">
        <f>EU26+EV26</f>
        <v/>
      </c>
      <c r="EX26" s="61">
        <f>K26</f>
        <v/>
      </c>
      <c r="EY26" s="107" t="n">
        <v>0.002</v>
      </c>
      <c r="EZ26" s="10">
        <f>EX26*EY26</f>
        <v/>
      </c>
      <c r="FA26" s="10">
        <f>EW26-EZ26</f>
        <v/>
      </c>
      <c r="FB26" s="11">
        <f>FA26</f>
        <v/>
      </c>
      <c r="FC26" s="3" t="n">
        <v>22</v>
      </c>
      <c r="FD26" s="18">
        <f>ET26</f>
        <v/>
      </c>
      <c r="FE26" s="8">
        <f>FL25</f>
        <v/>
      </c>
      <c r="FF26" s="10" t="n">
        <v>0</v>
      </c>
      <c r="FG26" s="8">
        <f>FE26+FF26</f>
        <v/>
      </c>
      <c r="FH26" s="61">
        <f>L26</f>
        <v/>
      </c>
      <c r="FI26" s="107" t="n">
        <v>0.0025</v>
      </c>
      <c r="FJ26" s="12">
        <f>FI26*FH26</f>
        <v/>
      </c>
      <c r="FK26" s="10">
        <f>FG26-FJ26</f>
        <v/>
      </c>
      <c r="FL26" s="11">
        <f>FK26</f>
        <v/>
      </c>
      <c r="FM26" s="10">
        <f>FB26+FL26</f>
        <v/>
      </c>
      <c r="FO26" s="3" t="n">
        <v>22</v>
      </c>
      <c r="FP26" s="18">
        <f>FD26</f>
        <v/>
      </c>
      <c r="FQ26" s="8">
        <f>FX25</f>
        <v/>
      </c>
      <c r="FR26" s="10" t="n">
        <v>0</v>
      </c>
      <c r="FS26" s="8">
        <f>FQ26+FR26</f>
        <v/>
      </c>
      <c r="FT26" s="61">
        <f>K26</f>
        <v/>
      </c>
      <c r="FU26" s="8" t="n">
        <v>0.002</v>
      </c>
      <c r="FV26" s="10">
        <f>FT26*FU26</f>
        <v/>
      </c>
      <c r="FW26" s="10">
        <f>FS26-FV26</f>
        <v/>
      </c>
      <c r="FX26" s="11">
        <f>FW26</f>
        <v/>
      </c>
      <c r="FY26" s="3" t="n">
        <v>22</v>
      </c>
      <c r="FZ26" s="18">
        <f>FP26</f>
        <v/>
      </c>
      <c r="GA26" s="8">
        <f>GH25</f>
        <v/>
      </c>
      <c r="GB26" s="10" t="n">
        <v>0</v>
      </c>
      <c r="GC26" s="8">
        <f>GA26+GB26</f>
        <v/>
      </c>
      <c r="GD26" s="61">
        <f>L26</f>
        <v/>
      </c>
      <c r="GE26" s="8" t="n">
        <v>0.005</v>
      </c>
      <c r="GF26" s="12">
        <f>GE26*GD26</f>
        <v/>
      </c>
      <c r="GG26" s="10">
        <f>GC26-GF26</f>
        <v/>
      </c>
      <c r="GH26" s="11">
        <f>GG26</f>
        <v/>
      </c>
      <c r="GI26" s="10">
        <f>FX26+GH26</f>
        <v/>
      </c>
      <c r="GK26" s="3" t="n">
        <v>22</v>
      </c>
      <c r="GL26" s="18">
        <f>FZ26</f>
        <v/>
      </c>
      <c r="GM26" s="8">
        <f>GT25</f>
        <v/>
      </c>
      <c r="GN26" s="10" t="n">
        <v>0</v>
      </c>
      <c r="GO26" s="8">
        <f>GM26+GN26</f>
        <v/>
      </c>
      <c r="GP26" s="61">
        <f>K26</f>
        <v/>
      </c>
      <c r="GQ26" s="8" t="n">
        <v>0.005</v>
      </c>
      <c r="GR26" s="10">
        <f>GP26*GQ26</f>
        <v/>
      </c>
      <c r="GS26" s="10">
        <f>GO26-GR26</f>
        <v/>
      </c>
      <c r="GT26" s="11">
        <f>GS26</f>
        <v/>
      </c>
      <c r="GU26" s="3" t="n">
        <v>22</v>
      </c>
      <c r="GV26" s="18">
        <f>GL26</f>
        <v/>
      </c>
      <c r="GW26" s="8">
        <f>HD25</f>
        <v/>
      </c>
      <c r="GX26" s="10" t="n">
        <v>0</v>
      </c>
      <c r="GY26" s="8">
        <f>GW26+GX26</f>
        <v/>
      </c>
      <c r="GZ26" s="61">
        <f>L26</f>
        <v/>
      </c>
      <c r="HA26" s="8" t="n">
        <v>0.0075</v>
      </c>
      <c r="HB26" s="12">
        <f>HA26*GZ26</f>
        <v/>
      </c>
      <c r="HC26" s="10">
        <f>GY26-HB26</f>
        <v/>
      </c>
      <c r="HD26" s="11">
        <f>HC26</f>
        <v/>
      </c>
      <c r="HE26" s="10">
        <f>GT26+HD26</f>
        <v/>
      </c>
      <c r="HG26" s="3" t="n">
        <v>22</v>
      </c>
      <c r="HH26" s="18">
        <f>GV26</f>
        <v/>
      </c>
      <c r="HI26" s="61">
        <f>K26</f>
        <v/>
      </c>
      <c r="HJ26" s="22" t="n">
        <v>1</v>
      </c>
      <c r="HK26" s="23">
        <f>HI26*HJ26</f>
        <v/>
      </c>
      <c r="HL26" s="61" t="n">
        <v>0.89</v>
      </c>
      <c r="HM26" s="23">
        <f>HI26*HL26</f>
        <v/>
      </c>
      <c r="HN26" s="22" t="n">
        <v>0.7</v>
      </c>
      <c r="HO26" s="22">
        <f>HN26*HI26</f>
        <v/>
      </c>
      <c r="HP26" s="22" t="n">
        <v>2.59</v>
      </c>
      <c r="HQ26" s="9">
        <f>HI26*HP26</f>
        <v/>
      </c>
      <c r="HR26" s="3" t="n">
        <v>22</v>
      </c>
      <c r="HS26" s="13" t="inlineStr">
        <is>
          <t>22/7/2023</t>
        </is>
      </c>
      <c r="HT26" s="61">
        <f>L26</f>
        <v/>
      </c>
      <c r="HU26" s="22" t="n">
        <v>1.64</v>
      </c>
      <c r="HV26" s="23">
        <f>HT26*HU26</f>
        <v/>
      </c>
      <c r="HW26" s="61" t="n">
        <v>1.14</v>
      </c>
      <c r="HX26" s="23">
        <f>HT26*HW26</f>
        <v/>
      </c>
      <c r="HY26" s="22" t="n">
        <v>1.1</v>
      </c>
      <c r="HZ26" s="22">
        <f>HY26*HT26</f>
        <v/>
      </c>
      <c r="IA26" s="22" t="n">
        <v>3.11</v>
      </c>
      <c r="IB26" s="9">
        <f>HT26*IA26</f>
        <v/>
      </c>
      <c r="IC26" s="9">
        <f>HK26+HV26</f>
        <v/>
      </c>
      <c r="ID26" s="9">
        <f>HM26+HX26</f>
        <v/>
      </c>
      <c r="IE26" s="9">
        <f>HO26+HZ26</f>
        <v/>
      </c>
      <c r="IF26" s="52" t="n"/>
      <c r="IG26" s="109">
        <f>HH26</f>
        <v/>
      </c>
      <c r="IH26" s="132" t="inlineStr">
        <is>
          <t>xq:okj</t>
        </is>
      </c>
      <c r="II26" s="140" t="inlineStr">
        <is>
          <t>elqj nkG</t>
        </is>
      </c>
      <c r="IJ26" s="105">
        <f>IJ25</f>
        <v/>
      </c>
      <c r="IK26" s="105">
        <f>IJ26</f>
        <v/>
      </c>
      <c r="IL26" s="105">
        <f>K26</f>
        <v/>
      </c>
      <c r="IM26" s="105">
        <f>IL26*100</f>
        <v/>
      </c>
      <c r="IN26" s="105">
        <f>IL26*20</f>
        <v/>
      </c>
      <c r="IO26" s="105" t="n"/>
      <c r="IP26" s="105" t="n"/>
      <c r="IQ26" s="105">
        <f>IL26*0.3</f>
        <v/>
      </c>
      <c r="IR26" s="105">
        <f>IL26*0.4</f>
        <v/>
      </c>
      <c r="IS26" s="105">
        <f>IL26*1.5</f>
        <v/>
      </c>
      <c r="IT26" s="105">
        <f>IL26*5</f>
        <v/>
      </c>
      <c r="IU26" s="105">
        <f>IL26*2</f>
        <v/>
      </c>
      <c r="IV26" s="105">
        <f>IL26*2.08</f>
        <v/>
      </c>
      <c r="IW26" s="13" t="n"/>
      <c r="IX26" s="105">
        <f>IL26*2.08</f>
        <v/>
      </c>
      <c r="IY26" s="13" t="n"/>
      <c r="IZ26" s="109">
        <f>IG26</f>
        <v/>
      </c>
      <c r="JA26" s="132" t="inlineStr">
        <is>
          <t>xq:okj</t>
        </is>
      </c>
      <c r="JB26" s="140" t="inlineStr">
        <is>
          <t>elqj nkG</t>
        </is>
      </c>
      <c r="JC26" s="105">
        <f>JC25</f>
        <v/>
      </c>
      <c r="JD26" s="105">
        <f>JC26</f>
        <v/>
      </c>
      <c r="JE26" s="105">
        <f>L26</f>
        <v/>
      </c>
      <c r="JF26" s="105">
        <f>JE26*150</f>
        <v/>
      </c>
      <c r="JG26" s="105">
        <f>JE26*30</f>
        <v/>
      </c>
      <c r="JH26" s="105" t="n"/>
      <c r="JI26" s="105" t="n"/>
      <c r="JJ26" s="105">
        <f>JE26*0.25</f>
        <v/>
      </c>
      <c r="JK26" s="105">
        <f>JE26*0.4</f>
        <v/>
      </c>
      <c r="JL26" s="105">
        <f>JE26*2.5</f>
        <v/>
      </c>
      <c r="JM26" s="105">
        <f>JE26*7.5</f>
        <v/>
      </c>
      <c r="JN26" s="105">
        <f>JE26*4</f>
        <v/>
      </c>
      <c r="JO26" s="105">
        <f>JE26*3.11</f>
        <v/>
      </c>
      <c r="JP26" s="13" t="n"/>
      <c r="JQ26" s="105">
        <f>JE26*3.11</f>
        <v/>
      </c>
      <c r="JR26" s="13" t="n"/>
      <c r="JS26" s="52" t="n"/>
      <c r="JT26" s="52" t="n"/>
      <c r="JU26" s="52" t="n"/>
      <c r="JV26" s="52" t="n"/>
      <c r="JW26" s="52" t="n"/>
      <c r="JX26" s="52" t="n"/>
      <c r="JY26" s="52" t="n"/>
      <c r="JZ26" s="52" t="n"/>
      <c r="KA26" s="52" t="n"/>
      <c r="KB26" s="52" t="n"/>
      <c r="KC26" s="52" t="n"/>
      <c r="KD26" s="52" t="n"/>
      <c r="KE26" s="52" t="n"/>
      <c r="KF26" s="52" t="n"/>
      <c r="KG26" s="52" t="n"/>
      <c r="KH26" s="52" t="n"/>
      <c r="KI26" s="52" t="n"/>
    </row>
    <row r="27" ht="35.1" customFormat="1" customHeight="1" s="14">
      <c r="A27" s="132" t="inlineStr">
        <is>
          <t>xq:okj</t>
        </is>
      </c>
      <c r="B27" s="114" t="inlineStr">
        <is>
          <t>23/04/2026</t>
        </is>
      </c>
      <c r="C27" s="108" t="n">
        <v>0</v>
      </c>
      <c r="D27" s="108">
        <f>C27</f>
        <v/>
      </c>
      <c r="E27" s="108" t="n">
        <v>0</v>
      </c>
      <c r="F27" s="108" t="n">
        <v>0</v>
      </c>
      <c r="G27" s="108" t="n">
        <v>0</v>
      </c>
      <c r="H27" s="108">
        <f>G27+F27+E27</f>
        <v/>
      </c>
      <c r="I27" s="132" t="inlineStr">
        <is>
          <t>xq:okj</t>
        </is>
      </c>
      <c r="J27" s="114" t="inlineStr">
        <is>
          <t>23/04/2026</t>
        </is>
      </c>
      <c r="K27" s="61">
        <f>D27</f>
        <v/>
      </c>
      <c r="L27" s="61">
        <f>H27</f>
        <v/>
      </c>
      <c r="M27" s="61">
        <f>SUM(K27:L27)</f>
        <v/>
      </c>
      <c r="N27" s="140" t="inlineStr">
        <is>
          <t>elqj nkG</t>
        </is>
      </c>
      <c r="O27" s="89" t="n"/>
      <c r="Q27" s="3" t="n">
        <v>23</v>
      </c>
      <c r="R27" s="114" t="inlineStr">
        <is>
          <t>23/04/2026</t>
        </is>
      </c>
      <c r="S27" s="11">
        <f>Z26</f>
        <v/>
      </c>
      <c r="T27" s="10" t="n">
        <v>0</v>
      </c>
      <c r="U27" s="8">
        <f>S27+T27</f>
        <v/>
      </c>
      <c r="V27" s="61">
        <f>K27</f>
        <v/>
      </c>
      <c r="W27" s="8" t="n">
        <v>0.1</v>
      </c>
      <c r="X27" s="10">
        <f>V27*W27</f>
        <v/>
      </c>
      <c r="Y27" s="10">
        <f>U27-X27</f>
        <v/>
      </c>
      <c r="Z27" s="11">
        <f>Y27</f>
        <v/>
      </c>
      <c r="AA27" s="3" t="n">
        <v>23</v>
      </c>
      <c r="AB27" s="18">
        <f>R27</f>
        <v/>
      </c>
      <c r="AC27" s="8">
        <f>AJ26</f>
        <v/>
      </c>
      <c r="AD27" s="10" t="n">
        <v>0</v>
      </c>
      <c r="AE27" s="8">
        <f>AC27+AD27</f>
        <v/>
      </c>
      <c r="AF27" s="61">
        <f>L27</f>
        <v/>
      </c>
      <c r="AG27" s="8" t="n">
        <v>0.15</v>
      </c>
      <c r="AH27" s="12">
        <f>AG27*AF27</f>
        <v/>
      </c>
      <c r="AI27" s="10">
        <f>AE27-AH27</f>
        <v/>
      </c>
      <c r="AJ27" s="11">
        <f>AI27</f>
        <v/>
      </c>
      <c r="AK27" s="10">
        <f>Z27+AJ27</f>
        <v/>
      </c>
      <c r="AM27" s="3" t="n">
        <v>23</v>
      </c>
      <c r="AN27" s="18">
        <f>AB27</f>
        <v/>
      </c>
      <c r="AO27" s="8">
        <f>AV26</f>
        <v/>
      </c>
      <c r="AP27" s="10" t="n">
        <v>0</v>
      </c>
      <c r="AQ27" s="8">
        <f>AO27+AP27</f>
        <v/>
      </c>
      <c r="AR27" s="61" t="n">
        <v>0</v>
      </c>
      <c r="AS27" s="8" t="n">
        <v>0.02</v>
      </c>
      <c r="AT27" s="10">
        <f>AR27*AS27</f>
        <v/>
      </c>
      <c r="AU27" s="10">
        <f>AQ27-AT27</f>
        <v/>
      </c>
      <c r="AV27" s="11">
        <f>AU27</f>
        <v/>
      </c>
      <c r="AW27" s="3" t="n">
        <v>23</v>
      </c>
      <c r="AX27" s="18">
        <f>AN27</f>
        <v/>
      </c>
      <c r="AY27" s="8">
        <f>BF26</f>
        <v/>
      </c>
      <c r="AZ27" s="10" t="n">
        <v>0</v>
      </c>
      <c r="BA27" s="8">
        <f>AY27+AZ27</f>
        <v/>
      </c>
      <c r="BB27" s="61" t="n">
        <v>0</v>
      </c>
      <c r="BC27" s="8" t="n">
        <v>0.03</v>
      </c>
      <c r="BD27" s="12">
        <f>BC27*BB27</f>
        <v/>
      </c>
      <c r="BE27" s="10">
        <f>BA27-BD27</f>
        <v/>
      </c>
      <c r="BF27" s="11">
        <f>BE27</f>
        <v/>
      </c>
      <c r="BG27" s="10">
        <f>AV27+BF27</f>
        <v/>
      </c>
      <c r="BI27" s="3" t="n">
        <v>23</v>
      </c>
      <c r="BJ27" s="18">
        <f>AX27</f>
        <v/>
      </c>
      <c r="BK27" s="8">
        <f>BR26</f>
        <v/>
      </c>
      <c r="BL27" s="10" t="n">
        <v>0</v>
      </c>
      <c r="BM27" s="8">
        <f>BK27+BL27</f>
        <v/>
      </c>
      <c r="BN27" s="61">
        <f>K27</f>
        <v/>
      </c>
      <c r="BO27" s="8" t="n">
        <v>0.02</v>
      </c>
      <c r="BP27" s="10">
        <f>BN27*BO27</f>
        <v/>
      </c>
      <c r="BQ27" s="10">
        <f>BM27-BP27</f>
        <v/>
      </c>
      <c r="BR27" s="11">
        <f>BQ27</f>
        <v/>
      </c>
      <c r="BS27" s="3" t="n">
        <v>23</v>
      </c>
      <c r="BT27" s="18">
        <f>BJ27</f>
        <v/>
      </c>
      <c r="BU27" s="8">
        <f>CB26</f>
        <v/>
      </c>
      <c r="BV27" s="10" t="n">
        <v>0</v>
      </c>
      <c r="BW27" s="8">
        <f>BU27+BV27</f>
        <v/>
      </c>
      <c r="BX27" s="61">
        <f>L27</f>
        <v/>
      </c>
      <c r="BY27" s="8" t="n">
        <v>0.03</v>
      </c>
      <c r="BZ27" s="12">
        <f>BY27*BX27</f>
        <v/>
      </c>
      <c r="CA27" s="10">
        <f>BW27-BZ27</f>
        <v/>
      </c>
      <c r="CB27" s="11">
        <f>CA27</f>
        <v/>
      </c>
      <c r="CC27" s="10">
        <f>BR27+CB27</f>
        <v/>
      </c>
      <c r="CE27" s="3" t="n">
        <v>23</v>
      </c>
      <c r="CF27" s="18">
        <f>BT27</f>
        <v/>
      </c>
      <c r="CG27" s="8">
        <f>CN26</f>
        <v/>
      </c>
      <c r="CH27" s="10" t="n">
        <v>0</v>
      </c>
      <c r="CI27" s="8">
        <f>CG27+CH27</f>
        <v/>
      </c>
      <c r="CJ27" s="61" t="n">
        <v>0</v>
      </c>
      <c r="CK27" s="8" t="n">
        <v>0.02</v>
      </c>
      <c r="CL27" s="10">
        <f>CJ27*CK27</f>
        <v/>
      </c>
      <c r="CM27" s="10">
        <f>CI27-CL27</f>
        <v/>
      </c>
      <c r="CN27" s="11">
        <f>CM27</f>
        <v/>
      </c>
      <c r="CO27" s="3" t="n">
        <v>23</v>
      </c>
      <c r="CP27" s="18">
        <f>CF27</f>
        <v/>
      </c>
      <c r="CQ27" s="8">
        <f>CX26</f>
        <v/>
      </c>
      <c r="CR27" s="10" t="n">
        <v>0</v>
      </c>
      <c r="CS27" s="8">
        <f>CQ27+CR27</f>
        <v/>
      </c>
      <c r="CT27" s="61" t="n">
        <v>0</v>
      </c>
      <c r="CU27" s="8" t="n">
        <v>0.03</v>
      </c>
      <c r="CV27" s="12">
        <f>CU27*CT27</f>
        <v/>
      </c>
      <c r="CW27" s="10">
        <f>CS27-CV27</f>
        <v/>
      </c>
      <c r="CX27" s="11">
        <f>CW27</f>
        <v/>
      </c>
      <c r="CY27" s="10">
        <f>CN27+CX27</f>
        <v/>
      </c>
      <c r="DA27" s="3" t="n">
        <v>23</v>
      </c>
      <c r="DB27" s="18">
        <f>CP27</f>
        <v/>
      </c>
      <c r="DC27" s="8">
        <f>DJ26</f>
        <v/>
      </c>
      <c r="DD27" s="10" t="n">
        <v>0</v>
      </c>
      <c r="DE27" s="8">
        <f>DC27+DD27</f>
        <v/>
      </c>
      <c r="DF27" s="61">
        <f>K27</f>
        <v/>
      </c>
      <c r="DG27" s="106" t="n">
        <v>0.0001</v>
      </c>
      <c r="DH27" s="10">
        <f>DF27*DG27</f>
        <v/>
      </c>
      <c r="DI27" s="10">
        <f>DE27-DH27</f>
        <v/>
      </c>
      <c r="DJ27" s="11">
        <f>DI27</f>
        <v/>
      </c>
      <c r="DK27" s="3" t="n">
        <v>23</v>
      </c>
      <c r="DL27" s="18">
        <f>DB27</f>
        <v/>
      </c>
      <c r="DM27" s="8">
        <f>DT26</f>
        <v/>
      </c>
      <c r="DN27" s="10" t="n">
        <v>0</v>
      </c>
      <c r="DO27" s="8">
        <f>DM27+DN27</f>
        <v/>
      </c>
      <c r="DP27" s="61">
        <f>L27</f>
        <v/>
      </c>
      <c r="DQ27" s="106" t="n">
        <v>0.0003</v>
      </c>
      <c r="DR27" s="12">
        <f>DQ27*DP27</f>
        <v/>
      </c>
      <c r="DS27" s="10">
        <f>DO27-DR27</f>
        <v/>
      </c>
      <c r="DT27" s="11">
        <f>DS27</f>
        <v/>
      </c>
      <c r="DU27" s="10">
        <f>DJ27+DT27</f>
        <v/>
      </c>
      <c r="DW27" s="3" t="n">
        <v>23</v>
      </c>
      <c r="DX27" s="18">
        <f>DL27</f>
        <v/>
      </c>
      <c r="DY27" s="8">
        <f>EF26</f>
        <v/>
      </c>
      <c r="DZ27" s="10" t="n">
        <v>0</v>
      </c>
      <c r="EA27" s="8">
        <f>DY27+DZ27</f>
        <v/>
      </c>
      <c r="EB27" s="61">
        <f>K27</f>
        <v/>
      </c>
      <c r="EC27" s="106" t="n">
        <v>0.0002</v>
      </c>
      <c r="ED27" s="10">
        <f>EB27*EC27</f>
        <v/>
      </c>
      <c r="EE27" s="10">
        <f>EA27-ED27</f>
        <v/>
      </c>
      <c r="EF27" s="11">
        <f>EE27</f>
        <v/>
      </c>
      <c r="EG27" s="3" t="n">
        <v>23</v>
      </c>
      <c r="EH27" s="18">
        <f>DX27</f>
        <v/>
      </c>
      <c r="EI27" s="8">
        <f>EP26</f>
        <v/>
      </c>
      <c r="EJ27" s="10" t="n">
        <v>0</v>
      </c>
      <c r="EK27" s="8">
        <f>EI27+EJ27</f>
        <v/>
      </c>
      <c r="EL27" s="61">
        <f>L27</f>
        <v/>
      </c>
      <c r="EM27" s="106" t="n">
        <v>0.0005999999999999999</v>
      </c>
      <c r="EN27" s="12">
        <f>EM27*EL27</f>
        <v/>
      </c>
      <c r="EO27" s="10">
        <f>EK27-EN27</f>
        <v/>
      </c>
      <c r="EP27" s="11">
        <f>EO27</f>
        <v/>
      </c>
      <c r="EQ27" s="10">
        <f>EF27+EP27</f>
        <v/>
      </c>
      <c r="ES27" s="3" t="n">
        <v>23</v>
      </c>
      <c r="ET27" s="18">
        <f>EH27</f>
        <v/>
      </c>
      <c r="EU27" s="8">
        <f>FB26</f>
        <v/>
      </c>
      <c r="EV27" s="10" t="n">
        <v>0</v>
      </c>
      <c r="EW27" s="8">
        <f>EU27+EV27</f>
        <v/>
      </c>
      <c r="EX27" s="61">
        <f>K27</f>
        <v/>
      </c>
      <c r="EY27" s="107" t="n">
        <v>0.002</v>
      </c>
      <c r="EZ27" s="10">
        <f>EX27*EY27</f>
        <v/>
      </c>
      <c r="FA27" s="10">
        <f>EW27-EZ27</f>
        <v/>
      </c>
      <c r="FB27" s="11">
        <f>FA27</f>
        <v/>
      </c>
      <c r="FC27" s="3" t="n">
        <v>23</v>
      </c>
      <c r="FD27" s="18">
        <f>ET27</f>
        <v/>
      </c>
      <c r="FE27" s="8">
        <f>FL26</f>
        <v/>
      </c>
      <c r="FF27" s="10" t="n">
        <v>0</v>
      </c>
      <c r="FG27" s="8">
        <f>FE27+FF27</f>
        <v/>
      </c>
      <c r="FH27" s="61">
        <f>L27</f>
        <v/>
      </c>
      <c r="FI27" s="107" t="n">
        <v>0.0025</v>
      </c>
      <c r="FJ27" s="12">
        <f>FI27*FH27</f>
        <v/>
      </c>
      <c r="FK27" s="10">
        <f>FG27-FJ27</f>
        <v/>
      </c>
      <c r="FL27" s="11">
        <f>FK27</f>
        <v/>
      </c>
      <c r="FM27" s="10">
        <f>FB27+FL27</f>
        <v/>
      </c>
      <c r="FO27" s="3" t="n">
        <v>23</v>
      </c>
      <c r="FP27" s="18">
        <f>FD27</f>
        <v/>
      </c>
      <c r="FQ27" s="8">
        <f>FX26</f>
        <v/>
      </c>
      <c r="FR27" s="10" t="n">
        <v>0</v>
      </c>
      <c r="FS27" s="8">
        <f>FQ27+FR27</f>
        <v/>
      </c>
      <c r="FT27" s="61">
        <f>K27</f>
        <v/>
      </c>
      <c r="FU27" s="8" t="n">
        <v>0.002</v>
      </c>
      <c r="FV27" s="10">
        <f>FT27*FU27</f>
        <v/>
      </c>
      <c r="FW27" s="10">
        <f>FS27-FV27</f>
        <v/>
      </c>
      <c r="FX27" s="11">
        <f>FW27</f>
        <v/>
      </c>
      <c r="FY27" s="3" t="n">
        <v>23</v>
      </c>
      <c r="FZ27" s="18">
        <f>FP27</f>
        <v/>
      </c>
      <c r="GA27" s="8">
        <f>GH26</f>
        <v/>
      </c>
      <c r="GB27" s="10" t="n">
        <v>0</v>
      </c>
      <c r="GC27" s="8">
        <f>GA27+GB27</f>
        <v/>
      </c>
      <c r="GD27" s="61">
        <f>L27</f>
        <v/>
      </c>
      <c r="GE27" s="8" t="n">
        <v>0.005</v>
      </c>
      <c r="GF27" s="12">
        <f>GE27*GD27</f>
        <v/>
      </c>
      <c r="GG27" s="10">
        <f>GC27-GF27</f>
        <v/>
      </c>
      <c r="GH27" s="11">
        <f>GG27</f>
        <v/>
      </c>
      <c r="GI27" s="10">
        <f>FX27+GH27</f>
        <v/>
      </c>
      <c r="GK27" s="3" t="n">
        <v>23</v>
      </c>
      <c r="GL27" s="18">
        <f>FZ27</f>
        <v/>
      </c>
      <c r="GM27" s="8">
        <f>GT26</f>
        <v/>
      </c>
      <c r="GN27" s="10" t="n">
        <v>0</v>
      </c>
      <c r="GO27" s="8">
        <f>GM27+GN27</f>
        <v/>
      </c>
      <c r="GP27" s="61">
        <f>K27</f>
        <v/>
      </c>
      <c r="GQ27" s="8" t="n">
        <v>0.005</v>
      </c>
      <c r="GR27" s="10">
        <f>GP27*GQ27</f>
        <v/>
      </c>
      <c r="GS27" s="10">
        <f>GO27-GR27</f>
        <v/>
      </c>
      <c r="GT27" s="11">
        <f>GS27</f>
        <v/>
      </c>
      <c r="GU27" s="3" t="n">
        <v>23</v>
      </c>
      <c r="GV27" s="18">
        <f>GL27</f>
        <v/>
      </c>
      <c r="GW27" s="8">
        <f>HD26</f>
        <v/>
      </c>
      <c r="GX27" s="10" t="n">
        <v>0</v>
      </c>
      <c r="GY27" s="8">
        <f>GW27+GX27</f>
        <v/>
      </c>
      <c r="GZ27" s="61">
        <f>L27</f>
        <v/>
      </c>
      <c r="HA27" s="8" t="n">
        <v>0.0075</v>
      </c>
      <c r="HB27" s="12">
        <f>HA27*GZ27</f>
        <v/>
      </c>
      <c r="HC27" s="10">
        <f>GY27-HB27</f>
        <v/>
      </c>
      <c r="HD27" s="11">
        <f>HC27</f>
        <v/>
      </c>
      <c r="HE27" s="10">
        <f>GT27+HD27</f>
        <v/>
      </c>
      <c r="HG27" s="3" t="n">
        <v>23</v>
      </c>
      <c r="HH27" s="18">
        <f>GV27</f>
        <v/>
      </c>
      <c r="HI27" s="61">
        <f>K27</f>
        <v/>
      </c>
      <c r="HJ27" s="22" t="n">
        <v>1</v>
      </c>
      <c r="HK27" s="23">
        <f>HI27*HJ27</f>
        <v/>
      </c>
      <c r="HL27" s="61" t="n">
        <v>0.89</v>
      </c>
      <c r="HM27" s="23">
        <f>HI27*HL27</f>
        <v/>
      </c>
      <c r="HN27" s="22" t="n">
        <v>0.7</v>
      </c>
      <c r="HO27" s="22">
        <f>HN27*HI27</f>
        <v/>
      </c>
      <c r="HP27" s="22" t="n">
        <v>2.59</v>
      </c>
      <c r="HQ27" s="9">
        <f>HI27*HP27</f>
        <v/>
      </c>
      <c r="HR27" s="3" t="n">
        <v>23</v>
      </c>
      <c r="HS27" s="13" t="inlineStr">
        <is>
          <t>23/7/2023</t>
        </is>
      </c>
      <c r="HT27" s="61">
        <f>L27</f>
        <v/>
      </c>
      <c r="HU27" s="22" t="n">
        <v>1.64</v>
      </c>
      <c r="HV27" s="23">
        <f>HT27*HU27</f>
        <v/>
      </c>
      <c r="HW27" s="61" t="n">
        <v>1.14</v>
      </c>
      <c r="HX27" s="23">
        <f>HT27*HW27</f>
        <v/>
      </c>
      <c r="HY27" s="22" t="n">
        <v>1.1</v>
      </c>
      <c r="HZ27" s="22">
        <f>HY27*HT27</f>
        <v/>
      </c>
      <c r="IA27" s="22" t="n">
        <v>3.11</v>
      </c>
      <c r="IB27" s="9">
        <f>HT27*IA27</f>
        <v/>
      </c>
      <c r="IC27" s="9">
        <f>HK27+HV27</f>
        <v/>
      </c>
      <c r="ID27" s="9">
        <f>HM27+HX27</f>
        <v/>
      </c>
      <c r="IE27" s="9">
        <f>HO27+HZ27</f>
        <v/>
      </c>
      <c r="IF27" s="52" t="n"/>
      <c r="IG27" s="109">
        <f>HH27</f>
        <v/>
      </c>
      <c r="IH27" s="132" t="inlineStr">
        <is>
          <t xml:space="preserve"> 'kqdzokj</t>
        </is>
      </c>
      <c r="II27" s="140" t="inlineStr">
        <is>
          <t>okVk.kk</t>
        </is>
      </c>
      <c r="IJ27" s="105">
        <f>IJ26</f>
        <v/>
      </c>
      <c r="IK27" s="105">
        <f>IJ27</f>
        <v/>
      </c>
      <c r="IL27" s="105">
        <f>K27</f>
        <v/>
      </c>
      <c r="IM27" s="105">
        <f>IL27*100</f>
        <v/>
      </c>
      <c r="IN27" s="105" t="n"/>
      <c r="IO27" s="105">
        <f>IL27*20</f>
        <v/>
      </c>
      <c r="IP27" s="105" t="n"/>
      <c r="IQ27" s="105">
        <f>IL27*0.3</f>
        <v/>
      </c>
      <c r="IR27" s="105">
        <f>IL27*0.4</f>
        <v/>
      </c>
      <c r="IS27" s="105">
        <f>IL27*1.5</f>
        <v/>
      </c>
      <c r="IT27" s="105">
        <f>IL27*5</f>
        <v/>
      </c>
      <c r="IU27" s="105">
        <f>IL27*2</f>
        <v/>
      </c>
      <c r="IV27" s="105">
        <f>IL27*2.08</f>
        <v/>
      </c>
      <c r="IW27" s="13" t="n"/>
      <c r="IX27" s="105">
        <f>IL27*2.08</f>
        <v/>
      </c>
      <c r="IY27" s="13" t="n"/>
      <c r="IZ27" s="109">
        <f>IG27</f>
        <v/>
      </c>
      <c r="JA27" s="132" t="inlineStr">
        <is>
          <t xml:space="preserve"> 'kqdzokj</t>
        </is>
      </c>
      <c r="JB27" s="140" t="inlineStr">
        <is>
          <t>okVk.kk</t>
        </is>
      </c>
      <c r="JC27" s="105">
        <f>JC26</f>
        <v/>
      </c>
      <c r="JD27" s="105">
        <f>JC27</f>
        <v/>
      </c>
      <c r="JE27" s="105">
        <f>L27</f>
        <v/>
      </c>
      <c r="JF27" s="105">
        <f>JE27*150</f>
        <v/>
      </c>
      <c r="JG27" s="105" t="n"/>
      <c r="JH27" s="105">
        <f>JE27*30</f>
        <v/>
      </c>
      <c r="JI27" s="105" t="n"/>
      <c r="JJ27" s="105">
        <f>JE27*0.25</f>
        <v/>
      </c>
      <c r="JK27" s="105">
        <f>JE27*0.4</f>
        <v/>
      </c>
      <c r="JL27" s="105">
        <f>JE27*2.5</f>
        <v/>
      </c>
      <c r="JM27" s="105">
        <f>JE27*7.5</f>
        <v/>
      </c>
      <c r="JN27" s="105">
        <f>JE27*4</f>
        <v/>
      </c>
      <c r="JO27" s="105">
        <f>JE27*3.11</f>
        <v/>
      </c>
      <c r="JP27" s="13" t="n"/>
      <c r="JQ27" s="105">
        <f>JE27*3.11</f>
        <v/>
      </c>
      <c r="JR27" s="13" t="n"/>
      <c r="JS27" s="52" t="n"/>
      <c r="JT27" s="52" t="n"/>
      <c r="JU27" s="52" t="n"/>
      <c r="JV27" s="52" t="n"/>
      <c r="JW27" s="52" t="n"/>
      <c r="JX27" s="52" t="n"/>
      <c r="JY27" s="52" t="n"/>
      <c r="JZ27" s="52" t="n"/>
      <c r="KA27" s="52" t="n"/>
      <c r="KB27" s="52" t="n"/>
      <c r="KC27" s="52" t="n"/>
      <c r="KD27" s="52" t="n"/>
      <c r="KE27" s="52" t="n"/>
      <c r="KF27" s="52" t="n"/>
      <c r="KG27" s="52" t="n"/>
      <c r="KH27" s="52" t="n"/>
      <c r="KI27" s="52" t="n"/>
    </row>
    <row r="28" ht="35.1" customFormat="1" customHeight="1" s="14">
      <c r="A28" s="132" t="inlineStr">
        <is>
          <t xml:space="preserve"> 'kqdzokj</t>
        </is>
      </c>
      <c r="B28" s="114" t="inlineStr">
        <is>
          <t>24/04/2026</t>
        </is>
      </c>
      <c r="C28" s="108" t="n">
        <v>0</v>
      </c>
      <c r="D28" s="108">
        <f>C28</f>
        <v/>
      </c>
      <c r="E28" s="108" t="n">
        <v>0</v>
      </c>
      <c r="F28" s="108" t="n">
        <v>0</v>
      </c>
      <c r="G28" s="108" t="n">
        <v>0</v>
      </c>
      <c r="H28" s="108">
        <f>G28+F28+E28</f>
        <v/>
      </c>
      <c r="I28" s="132" t="inlineStr">
        <is>
          <t xml:space="preserve"> 'kqdzokj</t>
        </is>
      </c>
      <c r="J28" s="114" t="inlineStr">
        <is>
          <t>24/04/2026</t>
        </is>
      </c>
      <c r="K28" s="61">
        <f>D28</f>
        <v/>
      </c>
      <c r="L28" s="61">
        <f>H28</f>
        <v/>
      </c>
      <c r="M28" s="61">
        <f>SUM(K28:L28)</f>
        <v/>
      </c>
      <c r="N28" s="140" t="inlineStr">
        <is>
          <t>elqj nkG</t>
        </is>
      </c>
      <c r="O28" s="89" t="n"/>
      <c r="Q28" s="3" t="n">
        <v>24</v>
      </c>
      <c r="R28" s="114" t="inlineStr">
        <is>
          <t>24/04/2026</t>
        </is>
      </c>
      <c r="S28" s="11">
        <f>Z27</f>
        <v/>
      </c>
      <c r="T28" s="10" t="n">
        <v>0</v>
      </c>
      <c r="U28" s="8">
        <f>S28+T28</f>
        <v/>
      </c>
      <c r="V28" s="61">
        <f>K28</f>
        <v/>
      </c>
      <c r="W28" s="8" t="n">
        <v>0.1</v>
      </c>
      <c r="X28" s="10">
        <f>V28*W28</f>
        <v/>
      </c>
      <c r="Y28" s="10">
        <f>U28-X28</f>
        <v/>
      </c>
      <c r="Z28" s="11">
        <f>Y28</f>
        <v/>
      </c>
      <c r="AA28" s="3" t="n">
        <v>24</v>
      </c>
      <c r="AB28" s="18">
        <f>R28</f>
        <v/>
      </c>
      <c r="AC28" s="8">
        <f>AJ27</f>
        <v/>
      </c>
      <c r="AD28" s="10" t="n">
        <v>0</v>
      </c>
      <c r="AE28" s="8">
        <f>AC28+AD28</f>
        <v/>
      </c>
      <c r="AF28" s="61">
        <f>L28</f>
        <v/>
      </c>
      <c r="AG28" s="8" t="n">
        <v>0.15</v>
      </c>
      <c r="AH28" s="12">
        <f>AG28*AF28</f>
        <v/>
      </c>
      <c r="AI28" s="10">
        <f>AE28-AH28</f>
        <v/>
      </c>
      <c r="AJ28" s="11">
        <f>AI28</f>
        <v/>
      </c>
      <c r="AK28" s="10">
        <f>Z28+AJ28</f>
        <v/>
      </c>
      <c r="AM28" s="3" t="n">
        <v>24</v>
      </c>
      <c r="AN28" s="18">
        <f>AB28</f>
        <v/>
      </c>
      <c r="AO28" s="8">
        <f>AV27</f>
        <v/>
      </c>
      <c r="AP28" s="10" t="n">
        <v>0</v>
      </c>
      <c r="AQ28" s="8">
        <f>AO28+AP28</f>
        <v/>
      </c>
      <c r="AR28" s="61" t="n">
        <v>0</v>
      </c>
      <c r="AS28" s="8" t="n">
        <v>0.02</v>
      </c>
      <c r="AT28" s="10">
        <f>AR28*AS28</f>
        <v/>
      </c>
      <c r="AU28" s="10">
        <f>AQ28-AT28</f>
        <v/>
      </c>
      <c r="AV28" s="11">
        <f>AU28</f>
        <v/>
      </c>
      <c r="AW28" s="3" t="n">
        <v>24</v>
      </c>
      <c r="AX28" s="18">
        <f>AN28</f>
        <v/>
      </c>
      <c r="AY28" s="8">
        <f>BF27</f>
        <v/>
      </c>
      <c r="AZ28" s="10" t="n">
        <v>0</v>
      </c>
      <c r="BA28" s="8">
        <f>AY28+AZ28</f>
        <v/>
      </c>
      <c r="BB28" s="61" t="n">
        <v>0</v>
      </c>
      <c r="BC28" s="8" t="n">
        <v>0.03</v>
      </c>
      <c r="BD28" s="12">
        <f>BC28*BB28</f>
        <v/>
      </c>
      <c r="BE28" s="10">
        <f>BA28-BD28</f>
        <v/>
      </c>
      <c r="BF28" s="11">
        <f>BE28</f>
        <v/>
      </c>
      <c r="BG28" s="10">
        <f>AV28+BF28</f>
        <v/>
      </c>
      <c r="BI28" s="3" t="n">
        <v>24</v>
      </c>
      <c r="BJ28" s="18">
        <f>AX28</f>
        <v/>
      </c>
      <c r="BK28" s="8">
        <f>BR27</f>
        <v/>
      </c>
      <c r="BL28" s="10" t="n">
        <v>0</v>
      </c>
      <c r="BM28" s="8">
        <f>BK28+BL28</f>
        <v/>
      </c>
      <c r="BN28" s="61" t="n">
        <v>0</v>
      </c>
      <c r="BO28" s="8" t="n">
        <v>0.02</v>
      </c>
      <c r="BP28" s="10">
        <f>BN28*BO28</f>
        <v/>
      </c>
      <c r="BQ28" s="10">
        <f>BM28-BP28</f>
        <v/>
      </c>
      <c r="BR28" s="11">
        <f>BQ28</f>
        <v/>
      </c>
      <c r="BS28" s="3" t="n">
        <v>24</v>
      </c>
      <c r="BT28" s="18">
        <f>BJ28</f>
        <v/>
      </c>
      <c r="BU28" s="8">
        <f>CB27</f>
        <v/>
      </c>
      <c r="BV28" s="10" t="n">
        <v>0</v>
      </c>
      <c r="BW28" s="8">
        <f>BU28+BV28</f>
        <v/>
      </c>
      <c r="BX28" s="61" t="n">
        <v>0</v>
      </c>
      <c r="BY28" s="8" t="n">
        <v>0.03</v>
      </c>
      <c r="BZ28" s="12">
        <f>BY28*BX28</f>
        <v/>
      </c>
      <c r="CA28" s="10">
        <f>BW28-BZ28</f>
        <v/>
      </c>
      <c r="CB28" s="11">
        <f>CA28</f>
        <v/>
      </c>
      <c r="CC28" s="10">
        <f>BR28+CB28</f>
        <v/>
      </c>
      <c r="CE28" s="3" t="n">
        <v>24</v>
      </c>
      <c r="CF28" s="18">
        <f>BT28</f>
        <v/>
      </c>
      <c r="CG28" s="8">
        <f>CN27</f>
        <v/>
      </c>
      <c r="CH28" s="10" t="n">
        <v>0</v>
      </c>
      <c r="CI28" s="8">
        <f>CG28+CH28</f>
        <v/>
      </c>
      <c r="CJ28" s="61">
        <f>K28</f>
        <v/>
      </c>
      <c r="CK28" s="8" t="n">
        <v>0.02</v>
      </c>
      <c r="CL28" s="10">
        <f>CJ28*CK28</f>
        <v/>
      </c>
      <c r="CM28" s="10">
        <f>CI28-CL28</f>
        <v/>
      </c>
      <c r="CN28" s="11">
        <f>CM28</f>
        <v/>
      </c>
      <c r="CO28" s="3" t="n">
        <v>24</v>
      </c>
      <c r="CP28" s="18">
        <f>CF28</f>
        <v/>
      </c>
      <c r="CQ28" s="8">
        <f>CX27</f>
        <v/>
      </c>
      <c r="CR28" s="10" t="n">
        <v>0</v>
      </c>
      <c r="CS28" s="8">
        <f>CQ28+CR28</f>
        <v/>
      </c>
      <c r="CT28" s="61">
        <f>L28</f>
        <v/>
      </c>
      <c r="CU28" s="8" t="n">
        <v>0.03</v>
      </c>
      <c r="CV28" s="12">
        <f>CU28*CT28</f>
        <v/>
      </c>
      <c r="CW28" s="10">
        <f>CS28-CV28</f>
        <v/>
      </c>
      <c r="CX28" s="11">
        <f>CW28</f>
        <v/>
      </c>
      <c r="CY28" s="10">
        <f>CN28+CX28</f>
        <v/>
      </c>
      <c r="DA28" s="3" t="n">
        <v>24</v>
      </c>
      <c r="DB28" s="18">
        <f>CP28</f>
        <v/>
      </c>
      <c r="DC28" s="8">
        <f>DJ27</f>
        <v/>
      </c>
      <c r="DD28" s="10" t="n">
        <v>0</v>
      </c>
      <c r="DE28" s="8">
        <f>DC28+DD28</f>
        <v/>
      </c>
      <c r="DF28" s="61">
        <f>K28</f>
        <v/>
      </c>
      <c r="DG28" s="106" t="n">
        <v>0.0001</v>
      </c>
      <c r="DH28" s="10">
        <f>DF28*DG28</f>
        <v/>
      </c>
      <c r="DI28" s="10">
        <f>DE28-DH28</f>
        <v/>
      </c>
      <c r="DJ28" s="11">
        <f>DI28</f>
        <v/>
      </c>
      <c r="DK28" s="3" t="n">
        <v>24</v>
      </c>
      <c r="DL28" s="18">
        <f>DB28</f>
        <v/>
      </c>
      <c r="DM28" s="8">
        <f>DT27</f>
        <v/>
      </c>
      <c r="DN28" s="10" t="n">
        <v>0</v>
      </c>
      <c r="DO28" s="8">
        <f>DM28+DN28</f>
        <v/>
      </c>
      <c r="DP28" s="61">
        <f>L28</f>
        <v/>
      </c>
      <c r="DQ28" s="106" t="n">
        <v>0.0003</v>
      </c>
      <c r="DR28" s="12">
        <f>DQ28*DP28</f>
        <v/>
      </c>
      <c r="DS28" s="10">
        <f>DO28-DR28</f>
        <v/>
      </c>
      <c r="DT28" s="11">
        <f>DS28</f>
        <v/>
      </c>
      <c r="DU28" s="10">
        <f>DJ28+DT28</f>
        <v/>
      </c>
      <c r="DW28" s="3" t="n">
        <v>24</v>
      </c>
      <c r="DX28" s="18">
        <f>DL28</f>
        <v/>
      </c>
      <c r="DY28" s="8">
        <f>EF27</f>
        <v/>
      </c>
      <c r="DZ28" s="10" t="n">
        <v>0</v>
      </c>
      <c r="EA28" s="8">
        <f>DY28+DZ28</f>
        <v/>
      </c>
      <c r="EB28" s="61">
        <f>K28</f>
        <v/>
      </c>
      <c r="EC28" s="106" t="n">
        <v>0.0002</v>
      </c>
      <c r="ED28" s="10">
        <f>EB28*EC28</f>
        <v/>
      </c>
      <c r="EE28" s="10">
        <f>EA28-ED28</f>
        <v/>
      </c>
      <c r="EF28" s="11">
        <f>EE28</f>
        <v/>
      </c>
      <c r="EG28" s="3" t="n">
        <v>24</v>
      </c>
      <c r="EH28" s="18">
        <f>DX28</f>
        <v/>
      </c>
      <c r="EI28" s="8">
        <f>EP27</f>
        <v/>
      </c>
      <c r="EJ28" s="10" t="n">
        <v>0</v>
      </c>
      <c r="EK28" s="8">
        <f>EI28+EJ28</f>
        <v/>
      </c>
      <c r="EL28" s="61">
        <f>L28</f>
        <v/>
      </c>
      <c r="EM28" s="106" t="n">
        <v>0.0005999999999999999</v>
      </c>
      <c r="EN28" s="12">
        <f>EM28*EL28</f>
        <v/>
      </c>
      <c r="EO28" s="10">
        <f>EK28-EN28</f>
        <v/>
      </c>
      <c r="EP28" s="11">
        <f>EO28</f>
        <v/>
      </c>
      <c r="EQ28" s="10">
        <f>EF28+EP28</f>
        <v/>
      </c>
      <c r="ES28" s="3" t="n">
        <v>24</v>
      </c>
      <c r="ET28" s="18">
        <f>EH28</f>
        <v/>
      </c>
      <c r="EU28" s="8">
        <f>FB27</f>
        <v/>
      </c>
      <c r="EV28" s="10" t="n">
        <v>0</v>
      </c>
      <c r="EW28" s="8">
        <f>EU28+EV28</f>
        <v/>
      </c>
      <c r="EX28" s="61">
        <f>K28</f>
        <v/>
      </c>
      <c r="EY28" s="107" t="n">
        <v>0.002</v>
      </c>
      <c r="EZ28" s="10">
        <f>EX28*EY28</f>
        <v/>
      </c>
      <c r="FA28" s="10">
        <f>EW28-EZ28</f>
        <v/>
      </c>
      <c r="FB28" s="11">
        <f>FA28</f>
        <v/>
      </c>
      <c r="FC28" s="3" t="n">
        <v>24</v>
      </c>
      <c r="FD28" s="18">
        <f>ET28</f>
        <v/>
      </c>
      <c r="FE28" s="8">
        <f>FL27</f>
        <v/>
      </c>
      <c r="FF28" s="10" t="n">
        <v>0</v>
      </c>
      <c r="FG28" s="8">
        <f>FE28+FF28</f>
        <v/>
      </c>
      <c r="FH28" s="61">
        <f>L28</f>
        <v/>
      </c>
      <c r="FI28" s="107" t="n">
        <v>0.0025</v>
      </c>
      <c r="FJ28" s="12">
        <f>FI28*FH28</f>
        <v/>
      </c>
      <c r="FK28" s="10">
        <f>FG28-FJ28</f>
        <v/>
      </c>
      <c r="FL28" s="11">
        <f>FK28</f>
        <v/>
      </c>
      <c r="FM28" s="10">
        <f>FB28+FL28</f>
        <v/>
      </c>
      <c r="FO28" s="3" t="n">
        <v>24</v>
      </c>
      <c r="FP28" s="18">
        <f>FD28</f>
        <v/>
      </c>
      <c r="FQ28" s="8">
        <f>FX27</f>
        <v/>
      </c>
      <c r="FR28" s="10" t="n">
        <v>0</v>
      </c>
      <c r="FS28" s="8">
        <f>FQ28+FR28</f>
        <v/>
      </c>
      <c r="FT28" s="61">
        <f>K28</f>
        <v/>
      </c>
      <c r="FU28" s="8" t="n">
        <v>0.002</v>
      </c>
      <c r="FV28" s="10">
        <f>FT28*FU28</f>
        <v/>
      </c>
      <c r="FW28" s="10">
        <f>FS28-FV28</f>
        <v/>
      </c>
      <c r="FX28" s="11">
        <f>FW28</f>
        <v/>
      </c>
      <c r="FY28" s="3" t="n">
        <v>24</v>
      </c>
      <c r="FZ28" s="18">
        <f>FP28</f>
        <v/>
      </c>
      <c r="GA28" s="8">
        <f>GH27</f>
        <v/>
      </c>
      <c r="GB28" s="10" t="n">
        <v>0</v>
      </c>
      <c r="GC28" s="8">
        <f>GA28+GB28</f>
        <v/>
      </c>
      <c r="GD28" s="61">
        <f>L28</f>
        <v/>
      </c>
      <c r="GE28" s="8" t="n">
        <v>0.005</v>
      </c>
      <c r="GF28" s="12">
        <f>GE28*GD28</f>
        <v/>
      </c>
      <c r="GG28" s="10">
        <f>GC28-GF28</f>
        <v/>
      </c>
      <c r="GH28" s="11">
        <f>GG28</f>
        <v/>
      </c>
      <c r="GI28" s="10">
        <f>FX28+GH28</f>
        <v/>
      </c>
      <c r="GK28" s="3" t="n">
        <v>24</v>
      </c>
      <c r="GL28" s="18">
        <f>FZ28</f>
        <v/>
      </c>
      <c r="GM28" s="8">
        <f>GT27</f>
        <v/>
      </c>
      <c r="GN28" s="10" t="n">
        <v>0</v>
      </c>
      <c r="GO28" s="8">
        <f>GM28+GN28</f>
        <v/>
      </c>
      <c r="GP28" s="61">
        <f>K28</f>
        <v/>
      </c>
      <c r="GQ28" s="8" t="n">
        <v>0.005</v>
      </c>
      <c r="GR28" s="10">
        <f>GP28*GQ28</f>
        <v/>
      </c>
      <c r="GS28" s="10">
        <f>GO28-GR28</f>
        <v/>
      </c>
      <c r="GT28" s="11">
        <f>GS28</f>
        <v/>
      </c>
      <c r="GU28" s="3" t="n">
        <v>24</v>
      </c>
      <c r="GV28" s="18">
        <f>GL28</f>
        <v/>
      </c>
      <c r="GW28" s="8">
        <f>HD27</f>
        <v/>
      </c>
      <c r="GX28" s="10" t="n">
        <v>0</v>
      </c>
      <c r="GY28" s="8">
        <f>GW28+GX28</f>
        <v/>
      </c>
      <c r="GZ28" s="61">
        <f>L28</f>
        <v/>
      </c>
      <c r="HA28" s="8" t="n">
        <v>0.0075</v>
      </c>
      <c r="HB28" s="12">
        <f>HA28*GZ28</f>
        <v/>
      </c>
      <c r="HC28" s="10">
        <f>GY28-HB28</f>
        <v/>
      </c>
      <c r="HD28" s="11">
        <f>HC28</f>
        <v/>
      </c>
      <c r="HE28" s="10">
        <f>GT28+HD28</f>
        <v/>
      </c>
      <c r="HG28" s="3" t="n">
        <v>24</v>
      </c>
      <c r="HH28" s="18">
        <f>GV28</f>
        <v/>
      </c>
      <c r="HI28" s="61">
        <f>K28</f>
        <v/>
      </c>
      <c r="HJ28" s="22" t="n">
        <v>1</v>
      </c>
      <c r="HK28" s="23">
        <f>HI28*HJ28</f>
        <v/>
      </c>
      <c r="HL28" s="61" t="n">
        <v>0.89</v>
      </c>
      <c r="HM28" s="23">
        <f>HI28*HL28</f>
        <v/>
      </c>
      <c r="HN28" s="22" t="n">
        <v>0.7</v>
      </c>
      <c r="HO28" s="22">
        <f>HN28*HI28</f>
        <v/>
      </c>
      <c r="HP28" s="22" t="n">
        <v>2.59</v>
      </c>
      <c r="HQ28" s="9">
        <f>HI28*HP28</f>
        <v/>
      </c>
      <c r="HR28" s="3" t="n">
        <v>24</v>
      </c>
      <c r="HS28" s="13" t="inlineStr">
        <is>
          <t>24/7/2023</t>
        </is>
      </c>
      <c r="HT28" s="61">
        <f>L28</f>
        <v/>
      </c>
      <c r="HU28" s="22" t="n">
        <v>1.64</v>
      </c>
      <c r="HV28" s="23">
        <f>HT28*HU28</f>
        <v/>
      </c>
      <c r="HW28" s="61" t="n">
        <v>1.14</v>
      </c>
      <c r="HX28" s="23">
        <f>HT28*HW28</f>
        <v/>
      </c>
      <c r="HY28" s="22" t="n">
        <v>1.1</v>
      </c>
      <c r="HZ28" s="22">
        <f>HY28*HT28</f>
        <v/>
      </c>
      <c r="IA28" s="22" t="n">
        <v>3.11</v>
      </c>
      <c r="IB28" s="9">
        <f>HT28*IA28</f>
        <v/>
      </c>
      <c r="IC28" s="9">
        <f>HK28+HV28</f>
        <v/>
      </c>
      <c r="ID28" s="9">
        <f>HM28+HX28</f>
        <v/>
      </c>
      <c r="IE28" s="9">
        <f>HO28+HZ28</f>
        <v/>
      </c>
      <c r="IF28" s="52" t="n"/>
      <c r="IG28" s="109">
        <f>HH28</f>
        <v/>
      </c>
      <c r="IH28" s="132" t="inlineStr">
        <is>
          <t xml:space="preserve"> 'kfuokj</t>
        </is>
      </c>
      <c r="II28" s="140" t="inlineStr">
        <is>
          <t>gjcjk</t>
        </is>
      </c>
      <c r="IJ28" s="105">
        <f>IJ27</f>
        <v/>
      </c>
      <c r="IK28" s="105">
        <f>IJ28</f>
        <v/>
      </c>
      <c r="IL28" s="105">
        <f>K28</f>
        <v/>
      </c>
      <c r="IM28" s="105">
        <f>IL28*100</f>
        <v/>
      </c>
      <c r="IN28" s="105" t="n"/>
      <c r="IO28" s="105" t="n"/>
      <c r="IP28" s="105">
        <f>IL28*20</f>
        <v/>
      </c>
      <c r="IQ28" s="105">
        <f>IL28*0.3</f>
        <v/>
      </c>
      <c r="IR28" s="105">
        <f>IL28*0.4</f>
        <v/>
      </c>
      <c r="IS28" s="105">
        <f>IL28*1.5</f>
        <v/>
      </c>
      <c r="IT28" s="105">
        <f>IL28*5</f>
        <v/>
      </c>
      <c r="IU28" s="105">
        <f>IL28*2</f>
        <v/>
      </c>
      <c r="IV28" s="105">
        <f>IL28*2.08</f>
        <v/>
      </c>
      <c r="IW28" s="13" t="n"/>
      <c r="IX28" s="105">
        <f>IL28*2.08</f>
        <v/>
      </c>
      <c r="IY28" s="13" t="n"/>
      <c r="IZ28" s="109">
        <f>IG28</f>
        <v/>
      </c>
      <c r="JA28" s="132" t="inlineStr">
        <is>
          <t xml:space="preserve"> 'kfuokj</t>
        </is>
      </c>
      <c r="JB28" s="140" t="inlineStr">
        <is>
          <t>gjcjk</t>
        </is>
      </c>
      <c r="JC28" s="105">
        <f>JC27</f>
        <v/>
      </c>
      <c r="JD28" s="105">
        <f>JC28</f>
        <v/>
      </c>
      <c r="JE28" s="105">
        <f>L28</f>
        <v/>
      </c>
      <c r="JF28" s="105">
        <f>JE28*150</f>
        <v/>
      </c>
      <c r="JG28" s="105" t="n"/>
      <c r="JH28" s="105" t="n"/>
      <c r="JI28" s="105">
        <f>JE28*30</f>
        <v/>
      </c>
      <c r="JJ28" s="105">
        <f>JE28*0.25</f>
        <v/>
      </c>
      <c r="JK28" s="105">
        <f>JE28*0.4</f>
        <v/>
      </c>
      <c r="JL28" s="105">
        <f>JE28*2.5</f>
        <v/>
      </c>
      <c r="JM28" s="105">
        <f>JE28*7.5</f>
        <v/>
      </c>
      <c r="JN28" s="105">
        <f>JE28*4</f>
        <v/>
      </c>
      <c r="JO28" s="105">
        <f>JE28*3.11</f>
        <v/>
      </c>
      <c r="JP28" s="13" t="n"/>
      <c r="JQ28" s="105">
        <f>JE28*3.11</f>
        <v/>
      </c>
      <c r="JR28" s="13" t="n"/>
      <c r="JS28" s="52" t="n"/>
      <c r="JT28" s="52" t="n"/>
      <c r="JU28" s="52" t="n"/>
      <c r="JV28" s="52" t="n"/>
      <c r="JW28" s="52" t="n"/>
      <c r="JX28" s="52" t="n"/>
      <c r="JY28" s="52" t="n"/>
      <c r="JZ28" s="52" t="n"/>
      <c r="KA28" s="52" t="n"/>
      <c r="KB28" s="52" t="n"/>
      <c r="KC28" s="52" t="n"/>
      <c r="KD28" s="52" t="n"/>
      <c r="KE28" s="52" t="n"/>
      <c r="KF28" s="52" t="n"/>
      <c r="KG28" s="52" t="n"/>
      <c r="KH28" s="52" t="n"/>
      <c r="KI28" s="52" t="n"/>
    </row>
    <row r="29" ht="35.1" customFormat="1" customHeight="1" s="14">
      <c r="A29" s="132" t="inlineStr">
        <is>
          <t xml:space="preserve"> 'kfuokj</t>
        </is>
      </c>
      <c r="B29" s="114" t="inlineStr">
        <is>
          <t>25/04/2026</t>
        </is>
      </c>
      <c r="C29" s="108" t="n">
        <v>0</v>
      </c>
      <c r="D29" s="108">
        <f>C29</f>
        <v/>
      </c>
      <c r="E29" s="108" t="n">
        <v>0</v>
      </c>
      <c r="F29" s="108" t="n">
        <v>0</v>
      </c>
      <c r="G29" s="108" t="n">
        <v>0</v>
      </c>
      <c r="H29" s="108">
        <f>G29+F29+E29</f>
        <v/>
      </c>
      <c r="I29" s="132" t="inlineStr">
        <is>
          <t xml:space="preserve"> 'kfuokj</t>
        </is>
      </c>
      <c r="J29" s="114" t="inlineStr">
        <is>
          <t>25/04/2026</t>
        </is>
      </c>
      <c r="K29" s="61">
        <f>D29</f>
        <v/>
      </c>
      <c r="L29" s="61">
        <f>H29</f>
        <v/>
      </c>
      <c r="M29" s="61">
        <f>SUM(K29:L29)</f>
        <v/>
      </c>
      <c r="N29" s="140" t="inlineStr">
        <is>
          <t>poGh</t>
        </is>
      </c>
      <c r="O29" s="89" t="n"/>
      <c r="Q29" s="3" t="n">
        <v>25</v>
      </c>
      <c r="R29" s="114" t="inlineStr">
        <is>
          <t>25/04/2026</t>
        </is>
      </c>
      <c r="S29" s="11">
        <f>Z28</f>
        <v/>
      </c>
      <c r="T29" s="10" t="n">
        <v>0</v>
      </c>
      <c r="U29" s="8">
        <f>S29+T29</f>
        <v/>
      </c>
      <c r="V29" s="61">
        <f>K29</f>
        <v/>
      </c>
      <c r="W29" s="8" t="n">
        <v>0.1</v>
      </c>
      <c r="X29" s="10">
        <f>V29*W29</f>
        <v/>
      </c>
      <c r="Y29" s="10">
        <f>U29-X29</f>
        <v/>
      </c>
      <c r="Z29" s="11">
        <f>Y29</f>
        <v/>
      </c>
      <c r="AA29" s="3" t="n">
        <v>25</v>
      </c>
      <c r="AB29" s="18">
        <f>R29</f>
        <v/>
      </c>
      <c r="AC29" s="8">
        <f>AJ28</f>
        <v/>
      </c>
      <c r="AD29" s="10" t="n">
        <v>0</v>
      </c>
      <c r="AE29" s="8">
        <f>AC29+AD29</f>
        <v/>
      </c>
      <c r="AF29" s="61">
        <f>L29</f>
        <v/>
      </c>
      <c r="AG29" s="8" t="n">
        <v>0.15</v>
      </c>
      <c r="AH29" s="12">
        <f>AG29*AF29</f>
        <v/>
      </c>
      <c r="AI29" s="10">
        <f>AE29-AH29</f>
        <v/>
      </c>
      <c r="AJ29" s="11">
        <f>AI29</f>
        <v/>
      </c>
      <c r="AK29" s="10">
        <f>Z29+AJ29</f>
        <v/>
      </c>
      <c r="AM29" s="3" t="n">
        <v>25</v>
      </c>
      <c r="AN29" s="18">
        <f>AB29</f>
        <v/>
      </c>
      <c r="AO29" s="8">
        <f>AV28</f>
        <v/>
      </c>
      <c r="AP29" s="10" t="n">
        <v>0</v>
      </c>
      <c r="AQ29" s="8">
        <f>AO29+AP29</f>
        <v/>
      </c>
      <c r="AR29" s="61">
        <f>K29</f>
        <v/>
      </c>
      <c r="AS29" s="8" t="n">
        <v>0.02</v>
      </c>
      <c r="AT29" s="10">
        <f>AR29*AS29</f>
        <v/>
      </c>
      <c r="AU29" s="10">
        <f>AQ29-AT29</f>
        <v/>
      </c>
      <c r="AV29" s="11">
        <f>AU29</f>
        <v/>
      </c>
      <c r="AW29" s="3" t="n">
        <v>25</v>
      </c>
      <c r="AX29" s="18">
        <f>AN29</f>
        <v/>
      </c>
      <c r="AY29" s="8">
        <f>BF28</f>
        <v/>
      </c>
      <c r="AZ29" s="10" t="n">
        <v>0</v>
      </c>
      <c r="BA29" s="8">
        <f>AY29+AZ29</f>
        <v/>
      </c>
      <c r="BB29" s="61">
        <f>L29</f>
        <v/>
      </c>
      <c r="BC29" s="8" t="n">
        <v>0.03</v>
      </c>
      <c r="BD29" s="12">
        <f>BC29*BB29</f>
        <v/>
      </c>
      <c r="BE29" s="10">
        <f>BA29-BD29</f>
        <v/>
      </c>
      <c r="BF29" s="11">
        <f>BE29</f>
        <v/>
      </c>
      <c r="BG29" s="10">
        <f>AV29+BF29</f>
        <v/>
      </c>
      <c r="BI29" s="3" t="n">
        <v>25</v>
      </c>
      <c r="BJ29" s="18">
        <f>AX29</f>
        <v/>
      </c>
      <c r="BK29" s="8">
        <f>BR28</f>
        <v/>
      </c>
      <c r="BL29" s="10" t="n">
        <v>0</v>
      </c>
      <c r="BM29" s="8">
        <f>BK29+BL29</f>
        <v/>
      </c>
      <c r="BN29" s="61" t="n">
        <v>0</v>
      </c>
      <c r="BO29" s="8" t="n">
        <v>0.02</v>
      </c>
      <c r="BP29" s="10">
        <f>BN29*BO29</f>
        <v/>
      </c>
      <c r="BQ29" s="10">
        <f>BM29-BP29</f>
        <v/>
      </c>
      <c r="BR29" s="11">
        <f>BQ29</f>
        <v/>
      </c>
      <c r="BS29" s="3" t="n">
        <v>25</v>
      </c>
      <c r="BT29" s="18">
        <f>BJ29</f>
        <v/>
      </c>
      <c r="BU29" s="8">
        <f>CB28</f>
        <v/>
      </c>
      <c r="BV29" s="10" t="n">
        <v>0</v>
      </c>
      <c r="BW29" s="8">
        <f>BU29+BV29</f>
        <v/>
      </c>
      <c r="BX29" s="61" t="n">
        <v>0</v>
      </c>
      <c r="BY29" s="8" t="n">
        <v>0.03</v>
      </c>
      <c r="BZ29" s="12">
        <f>BY29*BX29</f>
        <v/>
      </c>
      <c r="CA29" s="10">
        <f>BW29-BZ29</f>
        <v/>
      </c>
      <c r="CB29" s="11">
        <f>CA29</f>
        <v/>
      </c>
      <c r="CC29" s="10">
        <f>BR29+CB29</f>
        <v/>
      </c>
      <c r="CE29" s="3" t="n">
        <v>25</v>
      </c>
      <c r="CF29" s="18">
        <f>BT29</f>
        <v/>
      </c>
      <c r="CG29" s="8">
        <f>CN28</f>
        <v/>
      </c>
      <c r="CH29" s="10" t="n">
        <v>0</v>
      </c>
      <c r="CI29" s="8">
        <f>CG29+CH29</f>
        <v/>
      </c>
      <c r="CJ29" s="61" t="n">
        <v>0</v>
      </c>
      <c r="CK29" s="8" t="n">
        <v>0.02</v>
      </c>
      <c r="CL29" s="10">
        <f>CJ29*CK29</f>
        <v/>
      </c>
      <c r="CM29" s="10">
        <f>CI29-CL29</f>
        <v/>
      </c>
      <c r="CN29" s="11">
        <f>CM29</f>
        <v/>
      </c>
      <c r="CO29" s="3" t="n">
        <v>25</v>
      </c>
      <c r="CP29" s="18">
        <f>CF29</f>
        <v/>
      </c>
      <c r="CQ29" s="8">
        <f>CX28</f>
        <v/>
      </c>
      <c r="CR29" s="10" t="n">
        <v>0</v>
      </c>
      <c r="CS29" s="8">
        <f>CQ29+CR29</f>
        <v/>
      </c>
      <c r="CT29" s="61" t="n">
        <v>0</v>
      </c>
      <c r="CU29" s="8" t="n">
        <v>0.03</v>
      </c>
      <c r="CV29" s="12">
        <f>CU29*CT29</f>
        <v/>
      </c>
      <c r="CW29" s="10">
        <f>CS29-CV29</f>
        <v/>
      </c>
      <c r="CX29" s="11">
        <f>CW29</f>
        <v/>
      </c>
      <c r="CY29" s="10">
        <f>CN29+CX29</f>
        <v/>
      </c>
      <c r="DA29" s="3" t="n">
        <v>25</v>
      </c>
      <c r="DB29" s="18">
        <f>CP29</f>
        <v/>
      </c>
      <c r="DC29" s="8">
        <f>DJ28</f>
        <v/>
      </c>
      <c r="DD29" s="10" t="n">
        <v>0</v>
      </c>
      <c r="DE29" s="8">
        <f>DC29+DD29</f>
        <v/>
      </c>
      <c r="DF29" s="61">
        <f>K29</f>
        <v/>
      </c>
      <c r="DG29" s="106" t="n">
        <v>0.0001</v>
      </c>
      <c r="DH29" s="10">
        <f>DF29*DG29</f>
        <v/>
      </c>
      <c r="DI29" s="10">
        <f>DE29-DH29</f>
        <v/>
      </c>
      <c r="DJ29" s="11">
        <f>DI29</f>
        <v/>
      </c>
      <c r="DK29" s="3" t="n">
        <v>25</v>
      </c>
      <c r="DL29" s="18">
        <f>DB29</f>
        <v/>
      </c>
      <c r="DM29" s="8">
        <f>DT28</f>
        <v/>
      </c>
      <c r="DN29" s="10" t="n">
        <v>0</v>
      </c>
      <c r="DO29" s="8">
        <f>DM29+DN29</f>
        <v/>
      </c>
      <c r="DP29" s="61">
        <f>L29</f>
        <v/>
      </c>
      <c r="DQ29" s="106" t="n">
        <v>0.0003</v>
      </c>
      <c r="DR29" s="12">
        <f>DQ29*DP29</f>
        <v/>
      </c>
      <c r="DS29" s="10">
        <f>DO29-DR29</f>
        <v/>
      </c>
      <c r="DT29" s="11">
        <f>DS29</f>
        <v/>
      </c>
      <c r="DU29" s="10">
        <f>DJ29+DT29</f>
        <v/>
      </c>
      <c r="DW29" s="3" t="n">
        <v>25</v>
      </c>
      <c r="DX29" s="18">
        <f>DL29</f>
        <v/>
      </c>
      <c r="DY29" s="8">
        <f>EF28</f>
        <v/>
      </c>
      <c r="DZ29" s="10" t="n">
        <v>0</v>
      </c>
      <c r="EA29" s="8">
        <f>DY29+DZ29</f>
        <v/>
      </c>
      <c r="EB29" s="61">
        <f>K29</f>
        <v/>
      </c>
      <c r="EC29" s="106" t="n">
        <v>0.0002</v>
      </c>
      <c r="ED29" s="10">
        <f>EB29*EC29</f>
        <v/>
      </c>
      <c r="EE29" s="10">
        <f>EA29-ED29</f>
        <v/>
      </c>
      <c r="EF29" s="11">
        <f>EE29</f>
        <v/>
      </c>
      <c r="EG29" s="3" t="n">
        <v>25</v>
      </c>
      <c r="EH29" s="18">
        <f>DX29</f>
        <v/>
      </c>
      <c r="EI29" s="8">
        <f>EP28</f>
        <v/>
      </c>
      <c r="EJ29" s="10" t="n">
        <v>0</v>
      </c>
      <c r="EK29" s="8">
        <f>EI29+EJ29</f>
        <v/>
      </c>
      <c r="EL29" s="61">
        <f>L29</f>
        <v/>
      </c>
      <c r="EM29" s="106" t="n">
        <v>0.0005999999999999999</v>
      </c>
      <c r="EN29" s="12">
        <f>EM29*EL29</f>
        <v/>
      </c>
      <c r="EO29" s="10">
        <f>EK29-EN29</f>
        <v/>
      </c>
      <c r="EP29" s="11">
        <f>EO29</f>
        <v/>
      </c>
      <c r="EQ29" s="10">
        <f>EF29+EP29</f>
        <v/>
      </c>
      <c r="ES29" s="3" t="n">
        <v>25</v>
      </c>
      <c r="ET29" s="18">
        <f>EH29</f>
        <v/>
      </c>
      <c r="EU29" s="8">
        <f>FB28</f>
        <v/>
      </c>
      <c r="EV29" s="10" t="n">
        <v>0</v>
      </c>
      <c r="EW29" s="8">
        <f>EU29+EV29</f>
        <v/>
      </c>
      <c r="EX29" s="61">
        <f>K29</f>
        <v/>
      </c>
      <c r="EY29" s="107" t="n">
        <v>0.002</v>
      </c>
      <c r="EZ29" s="10">
        <f>EX29*EY29</f>
        <v/>
      </c>
      <c r="FA29" s="10">
        <f>EW29-EZ29</f>
        <v/>
      </c>
      <c r="FB29" s="11">
        <f>FA29</f>
        <v/>
      </c>
      <c r="FC29" s="3" t="n">
        <v>25</v>
      </c>
      <c r="FD29" s="18">
        <f>ET29</f>
        <v/>
      </c>
      <c r="FE29" s="8">
        <f>FL28</f>
        <v/>
      </c>
      <c r="FF29" s="10" t="n">
        <v>0</v>
      </c>
      <c r="FG29" s="8">
        <f>FE29+FF29</f>
        <v/>
      </c>
      <c r="FH29" s="61">
        <f>L29</f>
        <v/>
      </c>
      <c r="FI29" s="107" t="n">
        <v>0.0025</v>
      </c>
      <c r="FJ29" s="12">
        <f>FI29*FH29</f>
        <v/>
      </c>
      <c r="FK29" s="10">
        <f>FG29-FJ29</f>
        <v/>
      </c>
      <c r="FL29" s="11">
        <f>FK29</f>
        <v/>
      </c>
      <c r="FM29" s="10">
        <f>FB29+FL29</f>
        <v/>
      </c>
      <c r="FO29" s="3" t="n">
        <v>25</v>
      </c>
      <c r="FP29" s="18">
        <f>FD29</f>
        <v/>
      </c>
      <c r="FQ29" s="8">
        <f>FX28</f>
        <v/>
      </c>
      <c r="FR29" s="10" t="n">
        <v>0</v>
      </c>
      <c r="FS29" s="8">
        <f>FQ29+FR29</f>
        <v/>
      </c>
      <c r="FT29" s="61">
        <f>K29</f>
        <v/>
      </c>
      <c r="FU29" s="8" t="n">
        <v>0.002</v>
      </c>
      <c r="FV29" s="10">
        <f>FT29*FU29</f>
        <v/>
      </c>
      <c r="FW29" s="10">
        <f>FS29-FV29</f>
        <v/>
      </c>
      <c r="FX29" s="11">
        <f>FW29</f>
        <v/>
      </c>
      <c r="FY29" s="3" t="n">
        <v>25</v>
      </c>
      <c r="FZ29" s="18">
        <f>FP29</f>
        <v/>
      </c>
      <c r="GA29" s="8">
        <f>GH28</f>
        <v/>
      </c>
      <c r="GB29" s="10" t="n">
        <v>0</v>
      </c>
      <c r="GC29" s="8">
        <f>GA29+GB29</f>
        <v/>
      </c>
      <c r="GD29" s="61">
        <f>L29</f>
        <v/>
      </c>
      <c r="GE29" s="8" t="n">
        <v>0.005</v>
      </c>
      <c r="GF29" s="12">
        <f>GE29*GD29</f>
        <v/>
      </c>
      <c r="GG29" s="10">
        <f>GC29-GF29</f>
        <v/>
      </c>
      <c r="GH29" s="11">
        <f>GG29</f>
        <v/>
      </c>
      <c r="GI29" s="10">
        <f>FX29+GH29</f>
        <v/>
      </c>
      <c r="GK29" s="3" t="n">
        <v>25</v>
      </c>
      <c r="GL29" s="18">
        <f>FZ29</f>
        <v/>
      </c>
      <c r="GM29" s="8">
        <f>GT28</f>
        <v/>
      </c>
      <c r="GN29" s="10" t="n">
        <v>0</v>
      </c>
      <c r="GO29" s="8">
        <f>GM29+GN29</f>
        <v/>
      </c>
      <c r="GP29" s="61">
        <f>K29</f>
        <v/>
      </c>
      <c r="GQ29" s="8" t="n">
        <v>0.005</v>
      </c>
      <c r="GR29" s="10">
        <f>GP29*GQ29</f>
        <v/>
      </c>
      <c r="GS29" s="10">
        <f>GO29-GR29</f>
        <v/>
      </c>
      <c r="GT29" s="11">
        <f>GS29</f>
        <v/>
      </c>
      <c r="GU29" s="3" t="n">
        <v>25</v>
      </c>
      <c r="GV29" s="18">
        <f>GL29</f>
        <v/>
      </c>
      <c r="GW29" s="8">
        <f>HD28</f>
        <v/>
      </c>
      <c r="GX29" s="10" t="n">
        <v>0</v>
      </c>
      <c r="GY29" s="8">
        <f>GW29+GX29</f>
        <v/>
      </c>
      <c r="GZ29" s="61">
        <f>L29</f>
        <v/>
      </c>
      <c r="HA29" s="8" t="n">
        <v>0.0075</v>
      </c>
      <c r="HB29" s="12">
        <f>HA29*GZ29</f>
        <v/>
      </c>
      <c r="HC29" s="10">
        <f>GY29-HB29</f>
        <v/>
      </c>
      <c r="HD29" s="11">
        <f>HC29</f>
        <v/>
      </c>
      <c r="HE29" s="10">
        <f>GT29+HD29</f>
        <v/>
      </c>
      <c r="HG29" s="3" t="n">
        <v>25</v>
      </c>
      <c r="HH29" s="18">
        <f>GV29</f>
        <v/>
      </c>
      <c r="HI29" s="61">
        <f>K29</f>
        <v/>
      </c>
      <c r="HJ29" s="22" t="n">
        <v>1</v>
      </c>
      <c r="HK29" s="23">
        <f>HI29*HJ29</f>
        <v/>
      </c>
      <c r="HL29" s="61" t="n">
        <v>0.89</v>
      </c>
      <c r="HM29" s="23">
        <f>HI29*HL29</f>
        <v/>
      </c>
      <c r="HN29" s="22" t="n">
        <v>0.7</v>
      </c>
      <c r="HO29" s="22">
        <f>HN29*HI29</f>
        <v/>
      </c>
      <c r="HP29" s="22" t="n">
        <v>2.59</v>
      </c>
      <c r="HQ29" s="9">
        <f>HI29*HP29</f>
        <v/>
      </c>
      <c r="HR29" s="3" t="n">
        <v>25</v>
      </c>
      <c r="HS29" s="13" t="inlineStr">
        <is>
          <t>25/7/2023</t>
        </is>
      </c>
      <c r="HT29" s="61">
        <f>L29</f>
        <v/>
      </c>
      <c r="HU29" s="22" t="n">
        <v>1.64</v>
      </c>
      <c r="HV29" s="23">
        <f>HT29*HU29</f>
        <v/>
      </c>
      <c r="HW29" s="61" t="n">
        <v>1.14</v>
      </c>
      <c r="HX29" s="23">
        <f>HT29*HW29</f>
        <v/>
      </c>
      <c r="HY29" s="22" t="n">
        <v>1.1</v>
      </c>
      <c r="HZ29" s="22">
        <f>HY29*HT29</f>
        <v/>
      </c>
      <c r="IA29" s="22" t="n">
        <v>3.11</v>
      </c>
      <c r="IB29" s="9">
        <f>HT29*IA29</f>
        <v/>
      </c>
      <c r="IC29" s="9">
        <f>HK29+HV29</f>
        <v/>
      </c>
      <c r="ID29" s="9">
        <f>HM29+HX29</f>
        <v/>
      </c>
      <c r="IE29" s="9">
        <f>HO29+HZ29</f>
        <v/>
      </c>
      <c r="IF29" s="52" t="n"/>
      <c r="IG29" s="109">
        <f>HH29</f>
        <v/>
      </c>
      <c r="IH29" s="132" t="inlineStr">
        <is>
          <t>jfookj</t>
        </is>
      </c>
      <c r="II29" s="140" t="n"/>
      <c r="IJ29" s="105">
        <f>IJ28</f>
        <v/>
      </c>
      <c r="IK29" s="105">
        <f>IJ29</f>
        <v/>
      </c>
      <c r="IL29" s="105">
        <f>K29</f>
        <v/>
      </c>
      <c r="IM29" s="105">
        <f>IL29*100</f>
        <v/>
      </c>
      <c r="IN29" s="105">
        <f>IL29*20</f>
        <v/>
      </c>
      <c r="IO29" s="105" t="n"/>
      <c r="IP29" s="105" t="n"/>
      <c r="IQ29" s="105">
        <f>IL29*0.3</f>
        <v/>
      </c>
      <c r="IR29" s="105">
        <f>IL29*0.4</f>
        <v/>
      </c>
      <c r="IS29" s="105">
        <f>IL29*1.5</f>
        <v/>
      </c>
      <c r="IT29" s="105">
        <f>IL29*5</f>
        <v/>
      </c>
      <c r="IU29" s="105">
        <f>IL29*2</f>
        <v/>
      </c>
      <c r="IV29" s="105">
        <f>IL29*2.08</f>
        <v/>
      </c>
      <c r="IW29" s="13" t="n"/>
      <c r="IX29" s="105">
        <f>IL29*2.08</f>
        <v/>
      </c>
      <c r="IY29" s="13" t="n"/>
      <c r="IZ29" s="109">
        <f>IG29</f>
        <v/>
      </c>
      <c r="JA29" s="132" t="inlineStr">
        <is>
          <t>jfookj</t>
        </is>
      </c>
      <c r="JB29" s="140" t="n"/>
      <c r="JC29" s="105">
        <f>JC28</f>
        <v/>
      </c>
      <c r="JD29" s="105">
        <f>JC29</f>
        <v/>
      </c>
      <c r="JE29" s="105">
        <f>L29</f>
        <v/>
      </c>
      <c r="JF29" s="105">
        <f>JE29*150</f>
        <v/>
      </c>
      <c r="JG29" s="105">
        <f>JE29*30</f>
        <v/>
      </c>
      <c r="JH29" s="105" t="n"/>
      <c r="JI29" s="105" t="n"/>
      <c r="JJ29" s="105">
        <f>JE29*0.25</f>
        <v/>
      </c>
      <c r="JK29" s="105">
        <f>JE29*0.4</f>
        <v/>
      </c>
      <c r="JL29" s="105">
        <f>JE29*2.5</f>
        <v/>
      </c>
      <c r="JM29" s="105">
        <f>JE29*7.5</f>
        <v/>
      </c>
      <c r="JN29" s="105">
        <f>JE29*4</f>
        <v/>
      </c>
      <c r="JO29" s="105">
        <f>JE29*3.11</f>
        <v/>
      </c>
      <c r="JP29" s="13" t="n"/>
      <c r="JQ29" s="105">
        <f>JE29*3.11</f>
        <v/>
      </c>
      <c r="JR29" s="13" t="n"/>
      <c r="JS29" s="52" t="n"/>
      <c r="JT29" s="52" t="n"/>
      <c r="JU29" s="52" t="n"/>
      <c r="JV29" s="52" t="n"/>
      <c r="JW29" s="52" t="n"/>
      <c r="JX29" s="52" t="n"/>
      <c r="JY29" s="52" t="n"/>
      <c r="JZ29" s="52" t="n"/>
      <c r="KA29" s="52" t="n"/>
      <c r="KB29" s="52" t="n"/>
      <c r="KC29" s="52" t="n"/>
      <c r="KD29" s="52" t="n"/>
      <c r="KE29" s="52" t="n"/>
      <c r="KF29" s="52" t="n"/>
      <c r="KG29" s="52" t="n"/>
      <c r="KH29" s="52" t="n"/>
      <c r="KI29" s="52" t="n"/>
    </row>
    <row r="30" ht="35.1" customFormat="1" customHeight="1" s="14">
      <c r="A30" s="132" t="inlineStr">
        <is>
          <t>jfookj</t>
        </is>
      </c>
      <c r="B30" s="114" t="inlineStr">
        <is>
          <t>26/04/2026</t>
        </is>
      </c>
      <c r="C30" s="108" t="n">
        <v>0</v>
      </c>
      <c r="D30" s="108">
        <f>C30</f>
        <v/>
      </c>
      <c r="E30" s="108" t="n">
        <v>0</v>
      </c>
      <c r="F30" s="108" t="n">
        <v>0</v>
      </c>
      <c r="G30" s="108" t="n">
        <v>0</v>
      </c>
      <c r="H30" s="108">
        <f>G30+F30+E30</f>
        <v/>
      </c>
      <c r="I30" s="132" t="inlineStr">
        <is>
          <t>jfookj</t>
        </is>
      </c>
      <c r="J30" s="114" t="inlineStr">
        <is>
          <t>26/04/2026</t>
        </is>
      </c>
      <c r="K30" s="61">
        <f>D30</f>
        <v/>
      </c>
      <c r="L30" s="61">
        <f>H30</f>
        <v/>
      </c>
      <c r="M30" s="61">
        <f>SUM(K30:L30)</f>
        <v/>
      </c>
      <c r="N30" s="140" t="n"/>
      <c r="O30" s="89" t="n"/>
      <c r="Q30" s="3" t="n">
        <v>26</v>
      </c>
      <c r="R30" s="114" t="inlineStr">
        <is>
          <t>26/04/2026</t>
        </is>
      </c>
      <c r="S30" s="11">
        <f>Z29</f>
        <v/>
      </c>
      <c r="T30" s="10" t="n">
        <v>0</v>
      </c>
      <c r="U30" s="8">
        <f>S30+T30</f>
        <v/>
      </c>
      <c r="V30" s="61">
        <f>K30</f>
        <v/>
      </c>
      <c r="W30" s="8" t="n">
        <v>0.1</v>
      </c>
      <c r="X30" s="10">
        <f>V30*W30</f>
        <v/>
      </c>
      <c r="Y30" s="10">
        <f>U30-X30</f>
        <v/>
      </c>
      <c r="Z30" s="11">
        <f>Y30</f>
        <v/>
      </c>
      <c r="AA30" s="3" t="n">
        <v>26</v>
      </c>
      <c r="AB30" s="18">
        <f>R30</f>
        <v/>
      </c>
      <c r="AC30" s="8">
        <f>AJ29</f>
        <v/>
      </c>
      <c r="AD30" s="10" t="n">
        <v>0</v>
      </c>
      <c r="AE30" s="8">
        <f>AC30+AD30</f>
        <v/>
      </c>
      <c r="AF30" s="61">
        <f>L30</f>
        <v/>
      </c>
      <c r="AG30" s="8" t="n">
        <v>0.15</v>
      </c>
      <c r="AH30" s="12">
        <f>AG30*AF30</f>
        <v/>
      </c>
      <c r="AI30" s="10">
        <f>AE30-AH30</f>
        <v/>
      </c>
      <c r="AJ30" s="11">
        <f>AI30</f>
        <v/>
      </c>
      <c r="AK30" s="10">
        <f>Z30+AJ30</f>
        <v/>
      </c>
      <c r="AM30" s="3" t="n">
        <v>26</v>
      </c>
      <c r="AN30" s="18">
        <f>AB30</f>
        <v/>
      </c>
      <c r="AO30" s="8">
        <f>AV29</f>
        <v/>
      </c>
      <c r="AP30" s="10" t="n">
        <v>0</v>
      </c>
      <c r="AQ30" s="8">
        <f>AO30+AP30</f>
        <v/>
      </c>
      <c r="AR30" s="61" t="n">
        <v>0</v>
      </c>
      <c r="AS30" s="8" t="n">
        <v>0.02</v>
      </c>
      <c r="AT30" s="10">
        <f>AR30*AS30</f>
        <v/>
      </c>
      <c r="AU30" s="10">
        <f>AQ30-AT30</f>
        <v/>
      </c>
      <c r="AV30" s="11">
        <f>AU30</f>
        <v/>
      </c>
      <c r="AW30" s="3" t="n">
        <v>26</v>
      </c>
      <c r="AX30" s="18">
        <f>AN30</f>
        <v/>
      </c>
      <c r="AY30" s="8">
        <f>BF29</f>
        <v/>
      </c>
      <c r="AZ30" s="10" t="n">
        <v>0</v>
      </c>
      <c r="BA30" s="8">
        <f>AY30+AZ30</f>
        <v/>
      </c>
      <c r="BB30" s="61" t="n">
        <v>0</v>
      </c>
      <c r="BC30" s="8" t="n">
        <v>0.03</v>
      </c>
      <c r="BD30" s="12">
        <f>BC30*BB30</f>
        <v/>
      </c>
      <c r="BE30" s="10">
        <f>BA30-BD30</f>
        <v/>
      </c>
      <c r="BF30" s="11">
        <f>BE30</f>
        <v/>
      </c>
      <c r="BG30" s="10">
        <f>AV30+BF30</f>
        <v/>
      </c>
      <c r="BI30" s="3" t="n">
        <v>26</v>
      </c>
      <c r="BJ30" s="18">
        <f>AX30</f>
        <v/>
      </c>
      <c r="BK30" s="8">
        <f>BR29</f>
        <v/>
      </c>
      <c r="BL30" s="10" t="n">
        <v>0</v>
      </c>
      <c r="BM30" s="8">
        <f>BK30+BL30</f>
        <v/>
      </c>
      <c r="BN30" s="61" t="n">
        <v>0</v>
      </c>
      <c r="BO30" s="8" t="n">
        <v>0.02</v>
      </c>
      <c r="BP30" s="10">
        <f>BN30*BO30</f>
        <v/>
      </c>
      <c r="BQ30" s="10">
        <f>BM30-BP30</f>
        <v/>
      </c>
      <c r="BR30" s="11">
        <f>BQ30</f>
        <v/>
      </c>
      <c r="BS30" s="3" t="n">
        <v>26</v>
      </c>
      <c r="BT30" s="18">
        <f>BJ30</f>
        <v/>
      </c>
      <c r="BU30" s="8">
        <f>CB29</f>
        <v/>
      </c>
      <c r="BV30" s="10" t="n">
        <v>0</v>
      </c>
      <c r="BW30" s="8">
        <f>BU30+BV30</f>
        <v/>
      </c>
      <c r="BX30" s="61" t="n">
        <v>0</v>
      </c>
      <c r="BY30" s="8" t="n">
        <v>0.03</v>
      </c>
      <c r="BZ30" s="12">
        <f>BY30*BX30</f>
        <v/>
      </c>
      <c r="CA30" s="10">
        <f>BW30-BZ30</f>
        <v/>
      </c>
      <c r="CB30" s="11">
        <f>CA30</f>
        <v/>
      </c>
      <c r="CC30" s="10">
        <f>BR30+CB30</f>
        <v/>
      </c>
      <c r="CE30" s="3" t="n">
        <v>26</v>
      </c>
      <c r="CF30" s="18">
        <f>BT30</f>
        <v/>
      </c>
      <c r="CG30" s="8">
        <f>CN29</f>
        <v/>
      </c>
      <c r="CH30" s="10" t="n">
        <v>0</v>
      </c>
      <c r="CI30" s="8">
        <f>CG30+CH30</f>
        <v/>
      </c>
      <c r="CJ30" s="61" t="n">
        <v>0</v>
      </c>
      <c r="CK30" s="8" t="n">
        <v>0.02</v>
      </c>
      <c r="CL30" s="10">
        <f>CJ30*CK30</f>
        <v/>
      </c>
      <c r="CM30" s="10">
        <f>CI30-CL30</f>
        <v/>
      </c>
      <c r="CN30" s="11">
        <f>CM30</f>
        <v/>
      </c>
      <c r="CO30" s="3" t="n">
        <v>26</v>
      </c>
      <c r="CP30" s="18">
        <f>CF30</f>
        <v/>
      </c>
      <c r="CQ30" s="8">
        <f>CX29</f>
        <v/>
      </c>
      <c r="CR30" s="10" t="n">
        <v>0</v>
      </c>
      <c r="CS30" s="8">
        <f>CQ30+CR30</f>
        <v/>
      </c>
      <c r="CT30" s="61" t="n">
        <v>0</v>
      </c>
      <c r="CU30" s="8" t="n">
        <v>0.03</v>
      </c>
      <c r="CV30" s="12">
        <f>CU30*CT30</f>
        <v/>
      </c>
      <c r="CW30" s="10">
        <f>CS30-CV30</f>
        <v/>
      </c>
      <c r="CX30" s="11">
        <f>CW30</f>
        <v/>
      </c>
      <c r="CY30" s="10">
        <f>CN30+CX30</f>
        <v/>
      </c>
      <c r="DA30" s="3" t="n">
        <v>26</v>
      </c>
      <c r="DB30" s="18">
        <f>CP30</f>
        <v/>
      </c>
      <c r="DC30" s="8">
        <f>DJ29</f>
        <v/>
      </c>
      <c r="DD30" s="10" t="n">
        <v>0</v>
      </c>
      <c r="DE30" s="8">
        <f>DC30+DD30</f>
        <v/>
      </c>
      <c r="DF30" s="61">
        <f>K30</f>
        <v/>
      </c>
      <c r="DG30" s="106" t="n">
        <v>0.0001</v>
      </c>
      <c r="DH30" s="10">
        <f>DF30*DG30</f>
        <v/>
      </c>
      <c r="DI30" s="10">
        <f>DE30-DH30</f>
        <v/>
      </c>
      <c r="DJ30" s="11">
        <f>DI30</f>
        <v/>
      </c>
      <c r="DK30" s="3" t="n">
        <v>26</v>
      </c>
      <c r="DL30" s="18">
        <f>DB30</f>
        <v/>
      </c>
      <c r="DM30" s="8">
        <f>DT29</f>
        <v/>
      </c>
      <c r="DN30" s="10" t="n">
        <v>0</v>
      </c>
      <c r="DO30" s="8">
        <f>DM30+DN30</f>
        <v/>
      </c>
      <c r="DP30" s="61">
        <f>L30</f>
        <v/>
      </c>
      <c r="DQ30" s="106" t="n">
        <v>0.0003</v>
      </c>
      <c r="DR30" s="12">
        <f>DQ30*DP30</f>
        <v/>
      </c>
      <c r="DS30" s="10">
        <f>DO30-DR30</f>
        <v/>
      </c>
      <c r="DT30" s="11">
        <f>DS30</f>
        <v/>
      </c>
      <c r="DU30" s="10">
        <f>DJ30+DT30</f>
        <v/>
      </c>
      <c r="DW30" s="3" t="n">
        <v>26</v>
      </c>
      <c r="DX30" s="18">
        <f>DL30</f>
        <v/>
      </c>
      <c r="DY30" s="8">
        <f>EF29</f>
        <v/>
      </c>
      <c r="DZ30" s="10" t="n">
        <v>0</v>
      </c>
      <c r="EA30" s="8">
        <f>DY30+DZ30</f>
        <v/>
      </c>
      <c r="EB30" s="61">
        <f>K30</f>
        <v/>
      </c>
      <c r="EC30" s="106" t="n">
        <v>0.0002</v>
      </c>
      <c r="ED30" s="10">
        <f>EB30*EC30</f>
        <v/>
      </c>
      <c r="EE30" s="10">
        <f>EA30-ED30</f>
        <v/>
      </c>
      <c r="EF30" s="11">
        <f>EE30</f>
        <v/>
      </c>
      <c r="EG30" s="3" t="n">
        <v>26</v>
      </c>
      <c r="EH30" s="18">
        <f>DX30</f>
        <v/>
      </c>
      <c r="EI30" s="8">
        <f>EP29</f>
        <v/>
      </c>
      <c r="EJ30" s="10" t="n">
        <v>0</v>
      </c>
      <c r="EK30" s="8">
        <f>EI30+EJ30</f>
        <v/>
      </c>
      <c r="EL30" s="61">
        <f>L30</f>
        <v/>
      </c>
      <c r="EM30" s="106" t="n">
        <v>0.0005999999999999999</v>
      </c>
      <c r="EN30" s="12">
        <f>EM30*EL30</f>
        <v/>
      </c>
      <c r="EO30" s="10">
        <f>EK30-EN30</f>
        <v/>
      </c>
      <c r="EP30" s="11">
        <f>EO30</f>
        <v/>
      </c>
      <c r="EQ30" s="10">
        <f>EF30+EP30</f>
        <v/>
      </c>
      <c r="ES30" s="3" t="n">
        <v>26</v>
      </c>
      <c r="ET30" s="18">
        <f>EH30</f>
        <v/>
      </c>
      <c r="EU30" s="8">
        <f>FB29</f>
        <v/>
      </c>
      <c r="EV30" s="10" t="n">
        <v>0</v>
      </c>
      <c r="EW30" s="8">
        <f>EU30+EV30</f>
        <v/>
      </c>
      <c r="EX30" s="61">
        <f>K30</f>
        <v/>
      </c>
      <c r="EY30" s="107" t="n">
        <v>0.002</v>
      </c>
      <c r="EZ30" s="10">
        <f>EX30*EY30</f>
        <v/>
      </c>
      <c r="FA30" s="10">
        <f>EW30-EZ30</f>
        <v/>
      </c>
      <c r="FB30" s="11">
        <f>FA30</f>
        <v/>
      </c>
      <c r="FC30" s="3" t="n">
        <v>26</v>
      </c>
      <c r="FD30" s="18">
        <f>ET30</f>
        <v/>
      </c>
      <c r="FE30" s="8">
        <f>FL29</f>
        <v/>
      </c>
      <c r="FF30" s="10" t="n">
        <v>0</v>
      </c>
      <c r="FG30" s="8">
        <f>FE30+FF30</f>
        <v/>
      </c>
      <c r="FH30" s="61">
        <f>L30</f>
        <v/>
      </c>
      <c r="FI30" s="107" t="n">
        <v>0.0025</v>
      </c>
      <c r="FJ30" s="12">
        <f>FI30*FH30</f>
        <v/>
      </c>
      <c r="FK30" s="10">
        <f>FG30-FJ30</f>
        <v/>
      </c>
      <c r="FL30" s="11">
        <f>FK30</f>
        <v/>
      </c>
      <c r="FM30" s="10">
        <f>FB30+FL30</f>
        <v/>
      </c>
      <c r="FO30" s="3" t="n">
        <v>26</v>
      </c>
      <c r="FP30" s="18">
        <f>FD30</f>
        <v/>
      </c>
      <c r="FQ30" s="8">
        <f>FX29</f>
        <v/>
      </c>
      <c r="FR30" s="10" t="n">
        <v>0</v>
      </c>
      <c r="FS30" s="8">
        <f>FQ30+FR30</f>
        <v/>
      </c>
      <c r="FT30" s="61">
        <f>K30</f>
        <v/>
      </c>
      <c r="FU30" s="8" t="n">
        <v>0.002</v>
      </c>
      <c r="FV30" s="10">
        <f>FT30*FU30</f>
        <v/>
      </c>
      <c r="FW30" s="10">
        <f>FS30-FV30</f>
        <v/>
      </c>
      <c r="FX30" s="11">
        <f>FW30</f>
        <v/>
      </c>
      <c r="FY30" s="3" t="n">
        <v>26</v>
      </c>
      <c r="FZ30" s="18">
        <f>FP30</f>
        <v/>
      </c>
      <c r="GA30" s="8">
        <f>GH29</f>
        <v/>
      </c>
      <c r="GB30" s="10" t="n">
        <v>0</v>
      </c>
      <c r="GC30" s="8">
        <f>GA30+GB30</f>
        <v/>
      </c>
      <c r="GD30" s="61">
        <f>L30</f>
        <v/>
      </c>
      <c r="GE30" s="8" t="n">
        <v>0.005</v>
      </c>
      <c r="GF30" s="12">
        <f>GE30*GD30</f>
        <v/>
      </c>
      <c r="GG30" s="10">
        <f>GC30-GF30</f>
        <v/>
      </c>
      <c r="GH30" s="11">
        <f>GG30</f>
        <v/>
      </c>
      <c r="GI30" s="10">
        <f>FX30+GH30</f>
        <v/>
      </c>
      <c r="GK30" s="3" t="n">
        <v>26</v>
      </c>
      <c r="GL30" s="18">
        <f>FZ30</f>
        <v/>
      </c>
      <c r="GM30" s="8">
        <f>GT29</f>
        <v/>
      </c>
      <c r="GN30" s="10" t="n">
        <v>0</v>
      </c>
      <c r="GO30" s="8">
        <f>GM30+GN30</f>
        <v/>
      </c>
      <c r="GP30" s="61">
        <f>K30</f>
        <v/>
      </c>
      <c r="GQ30" s="8" t="n">
        <v>0.005</v>
      </c>
      <c r="GR30" s="10">
        <f>GP30*GQ30</f>
        <v/>
      </c>
      <c r="GS30" s="10">
        <f>GO30-GR30</f>
        <v/>
      </c>
      <c r="GT30" s="11">
        <f>GS30</f>
        <v/>
      </c>
      <c r="GU30" s="3" t="n">
        <v>26</v>
      </c>
      <c r="GV30" s="18">
        <f>GL30</f>
        <v/>
      </c>
      <c r="GW30" s="8">
        <f>HD29</f>
        <v/>
      </c>
      <c r="GX30" s="10" t="n">
        <v>0</v>
      </c>
      <c r="GY30" s="8">
        <f>GW30+GX30</f>
        <v/>
      </c>
      <c r="GZ30" s="61">
        <f>L30</f>
        <v/>
      </c>
      <c r="HA30" s="8" t="n">
        <v>0.0075</v>
      </c>
      <c r="HB30" s="12">
        <f>HA30*GZ30</f>
        <v/>
      </c>
      <c r="HC30" s="10">
        <f>GY30-HB30</f>
        <v/>
      </c>
      <c r="HD30" s="11">
        <f>HC30</f>
        <v/>
      </c>
      <c r="HE30" s="10">
        <f>GT30+HD30</f>
        <v/>
      </c>
      <c r="HG30" s="3" t="n">
        <v>26</v>
      </c>
      <c r="HH30" s="18">
        <f>GV30</f>
        <v/>
      </c>
      <c r="HI30" s="61">
        <f>K30</f>
        <v/>
      </c>
      <c r="HJ30" s="22" t="n">
        <v>1</v>
      </c>
      <c r="HK30" s="23">
        <f>HI30*HJ30</f>
        <v/>
      </c>
      <c r="HL30" s="61" t="n">
        <v>0.89</v>
      </c>
      <c r="HM30" s="23">
        <f>HI30*HL30</f>
        <v/>
      </c>
      <c r="HN30" s="22" t="n">
        <v>0.7</v>
      </c>
      <c r="HO30" s="22">
        <f>HN30*HI30</f>
        <v/>
      </c>
      <c r="HP30" s="22" t="n">
        <v>2.59</v>
      </c>
      <c r="HQ30" s="9">
        <f>HI30*HP30</f>
        <v/>
      </c>
      <c r="HR30" s="3" t="n">
        <v>26</v>
      </c>
      <c r="HS30" s="13" t="inlineStr">
        <is>
          <t>26/7/2023</t>
        </is>
      </c>
      <c r="HT30" s="61">
        <f>L30</f>
        <v/>
      </c>
      <c r="HU30" s="22" t="n">
        <v>1.64</v>
      </c>
      <c r="HV30" s="23">
        <f>HT30*HU30</f>
        <v/>
      </c>
      <c r="HW30" s="61" t="n">
        <v>1.14</v>
      </c>
      <c r="HX30" s="23">
        <f>HT30*HW30</f>
        <v/>
      </c>
      <c r="HY30" s="22" t="n">
        <v>1.1</v>
      </c>
      <c r="HZ30" s="22">
        <f>HY30*HT30</f>
        <v/>
      </c>
      <c r="IA30" s="22" t="n">
        <v>3.11</v>
      </c>
      <c r="IB30" s="9">
        <f>HT30*IA30</f>
        <v/>
      </c>
      <c r="IC30" s="9">
        <f>HK30+HV30</f>
        <v/>
      </c>
      <c r="ID30" s="9">
        <f>HM30+HX30</f>
        <v/>
      </c>
      <c r="IE30" s="9">
        <f>HO30+HZ30</f>
        <v/>
      </c>
      <c r="IF30" s="52" t="n"/>
      <c r="IG30" s="109">
        <f>HH30</f>
        <v/>
      </c>
      <c r="IH30" s="132" t="inlineStr">
        <is>
          <t>lkseokj</t>
        </is>
      </c>
      <c r="II30" s="140" t="inlineStr">
        <is>
          <t>elqj nkG</t>
        </is>
      </c>
      <c r="IJ30" s="105">
        <f>IJ29</f>
        <v/>
      </c>
      <c r="IK30" s="105">
        <f>IJ30</f>
        <v/>
      </c>
      <c r="IL30" s="105">
        <f>K30</f>
        <v/>
      </c>
      <c r="IM30" s="105">
        <f>IL30*100</f>
        <v/>
      </c>
      <c r="IN30" s="105">
        <f>IL30*20</f>
        <v/>
      </c>
      <c r="IO30" s="105" t="n"/>
      <c r="IP30" s="105" t="n"/>
      <c r="IQ30" s="105">
        <f>IL30*0.3</f>
        <v/>
      </c>
      <c r="IR30" s="105">
        <f>IL30*0.4</f>
        <v/>
      </c>
      <c r="IS30" s="105">
        <f>IL30*1.5</f>
        <v/>
      </c>
      <c r="IT30" s="105">
        <f>IL30*5</f>
        <v/>
      </c>
      <c r="IU30" s="105">
        <f>IL30*2</f>
        <v/>
      </c>
      <c r="IV30" s="105">
        <f>IL30*2.08</f>
        <v/>
      </c>
      <c r="IW30" s="13" t="n"/>
      <c r="IX30" s="105">
        <f>IL30*2.08</f>
        <v/>
      </c>
      <c r="IY30" s="13" t="n"/>
      <c r="IZ30" s="109">
        <f>IG30</f>
        <v/>
      </c>
      <c r="JA30" s="132" t="inlineStr">
        <is>
          <t>lkseokj</t>
        </is>
      </c>
      <c r="JB30" s="140" t="inlineStr">
        <is>
          <t>elqj nkG</t>
        </is>
      </c>
      <c r="JC30" s="105">
        <f>JC29</f>
        <v/>
      </c>
      <c r="JD30" s="105">
        <f>JC30</f>
        <v/>
      </c>
      <c r="JE30" s="105">
        <f>L30</f>
        <v/>
      </c>
      <c r="JF30" s="105">
        <f>JE30*150</f>
        <v/>
      </c>
      <c r="JG30" s="105" t="n"/>
      <c r="JH30" s="105">
        <f>JE30*30</f>
        <v/>
      </c>
      <c r="JI30" s="105" t="n"/>
      <c r="JJ30" s="105">
        <f>JE30*0.25</f>
        <v/>
      </c>
      <c r="JK30" s="105">
        <f>JE30*0.4</f>
        <v/>
      </c>
      <c r="JL30" s="105">
        <f>JE30*2.5</f>
        <v/>
      </c>
      <c r="JM30" s="105">
        <f>JE30*7.5</f>
        <v/>
      </c>
      <c r="JN30" s="105">
        <f>JE30*4</f>
        <v/>
      </c>
      <c r="JO30" s="105">
        <f>JE30*3.11</f>
        <v/>
      </c>
      <c r="JP30" s="13" t="n"/>
      <c r="JQ30" s="105">
        <f>JE30*3.11</f>
        <v/>
      </c>
      <c r="JR30" s="13" t="n"/>
      <c r="JS30" s="52" t="n"/>
      <c r="JT30" s="52" t="n"/>
      <c r="JU30" s="52" t="n"/>
      <c r="JV30" s="52" t="n"/>
      <c r="JW30" s="52" t="n"/>
      <c r="JX30" s="52" t="n"/>
      <c r="JY30" s="52" t="n"/>
      <c r="JZ30" s="52" t="n"/>
      <c r="KA30" s="52" t="n"/>
      <c r="KB30" s="52" t="n"/>
      <c r="KC30" s="52" t="n"/>
      <c r="KD30" s="52" t="n"/>
      <c r="KE30" s="52" t="n"/>
      <c r="KF30" s="52" t="n"/>
      <c r="KG30" s="52" t="n"/>
      <c r="KH30" s="52" t="n"/>
      <c r="KI30" s="52" t="n"/>
    </row>
    <row r="31" ht="35.1" customFormat="1" customHeight="1" s="14">
      <c r="A31" s="132" t="inlineStr">
        <is>
          <t>lkseokj</t>
        </is>
      </c>
      <c r="B31" s="114" t="inlineStr">
        <is>
          <t>27/04/2026</t>
        </is>
      </c>
      <c r="C31" s="108" t="n">
        <v>0</v>
      </c>
      <c r="D31" s="108">
        <f>C31</f>
        <v/>
      </c>
      <c r="E31" s="108" t="n">
        <v>0</v>
      </c>
      <c r="F31" s="108" t="n">
        <v>0</v>
      </c>
      <c r="G31" s="108" t="n">
        <v>0</v>
      </c>
      <c r="H31" s="108">
        <f>G31+F31+E31</f>
        <v/>
      </c>
      <c r="I31" s="132" t="inlineStr">
        <is>
          <t>lkseokj</t>
        </is>
      </c>
      <c r="J31" s="114" t="inlineStr">
        <is>
          <t>27/04/2026</t>
        </is>
      </c>
      <c r="K31" s="61">
        <f>D31</f>
        <v/>
      </c>
      <c r="L31" s="61">
        <f>H31</f>
        <v/>
      </c>
      <c r="M31" s="61">
        <f>SUM(K31:L31)</f>
        <v/>
      </c>
      <c r="N31" s="140" t="inlineStr">
        <is>
          <t>elqj nkG</t>
        </is>
      </c>
      <c r="O31" s="89" t="n"/>
      <c r="Q31" s="3" t="n">
        <v>27</v>
      </c>
      <c r="R31" s="114" t="inlineStr">
        <is>
          <t>27/04/2026</t>
        </is>
      </c>
      <c r="S31" s="11">
        <f>Z30</f>
        <v/>
      </c>
      <c r="T31" s="10" t="n">
        <v>0</v>
      </c>
      <c r="U31" s="8">
        <f>S31+T31</f>
        <v/>
      </c>
      <c r="V31" s="61">
        <f>K31</f>
        <v/>
      </c>
      <c r="W31" s="8" t="n">
        <v>0.1</v>
      </c>
      <c r="X31" s="10">
        <f>V31*W31</f>
        <v/>
      </c>
      <c r="Y31" s="10">
        <f>U31-X31</f>
        <v/>
      </c>
      <c r="Z31" s="11">
        <f>Y31</f>
        <v/>
      </c>
      <c r="AA31" s="3" t="n">
        <v>27</v>
      </c>
      <c r="AB31" s="18">
        <f>R31</f>
        <v/>
      </c>
      <c r="AC31" s="8">
        <f>AJ30</f>
        <v/>
      </c>
      <c r="AD31" s="10" t="n">
        <v>0</v>
      </c>
      <c r="AE31" s="8">
        <f>AC31+AD31</f>
        <v/>
      </c>
      <c r="AF31" s="61">
        <f>L31</f>
        <v/>
      </c>
      <c r="AG31" s="8" t="n">
        <v>0.15</v>
      </c>
      <c r="AH31" s="12">
        <f>AG31*AF31</f>
        <v/>
      </c>
      <c r="AI31" s="10">
        <f>AE31-AH31</f>
        <v/>
      </c>
      <c r="AJ31" s="11">
        <f>AI31</f>
        <v/>
      </c>
      <c r="AK31" s="10">
        <f>Z31+AJ31</f>
        <v/>
      </c>
      <c r="AM31" s="3" t="n">
        <v>27</v>
      </c>
      <c r="AN31" s="18">
        <f>AB31</f>
        <v/>
      </c>
      <c r="AO31" s="8">
        <f>AV30</f>
        <v/>
      </c>
      <c r="AP31" s="10" t="n">
        <v>0</v>
      </c>
      <c r="AQ31" s="8">
        <f>AO31+AP31</f>
        <v/>
      </c>
      <c r="AR31" s="61" t="n">
        <v>0</v>
      </c>
      <c r="AS31" s="8" t="n">
        <v>0.02</v>
      </c>
      <c r="AT31" s="10">
        <f>AR31*AS31</f>
        <v/>
      </c>
      <c r="AU31" s="10">
        <f>AQ31-AT31</f>
        <v/>
      </c>
      <c r="AV31" s="11">
        <f>AU31</f>
        <v/>
      </c>
      <c r="AW31" s="3" t="n">
        <v>27</v>
      </c>
      <c r="AX31" s="18">
        <f>AN31</f>
        <v/>
      </c>
      <c r="AY31" s="8">
        <f>BF30</f>
        <v/>
      </c>
      <c r="AZ31" s="10" t="n">
        <v>0</v>
      </c>
      <c r="BA31" s="8">
        <f>AY31+AZ31</f>
        <v/>
      </c>
      <c r="BB31" s="61" t="n">
        <v>0</v>
      </c>
      <c r="BC31" s="8" t="n">
        <v>0.03</v>
      </c>
      <c r="BD31" s="12">
        <f>BC31*BB31</f>
        <v/>
      </c>
      <c r="BE31" s="10">
        <f>BA31-BD31</f>
        <v/>
      </c>
      <c r="BF31" s="11">
        <f>BE31</f>
        <v/>
      </c>
      <c r="BG31" s="10">
        <f>AV31+BF31</f>
        <v/>
      </c>
      <c r="BI31" s="3" t="n">
        <v>27</v>
      </c>
      <c r="BJ31" s="18">
        <f>AX31</f>
        <v/>
      </c>
      <c r="BK31" s="8">
        <f>BR30</f>
        <v/>
      </c>
      <c r="BL31" s="10" t="n">
        <v>0</v>
      </c>
      <c r="BM31" s="8">
        <f>BK31+BL31</f>
        <v/>
      </c>
      <c r="BN31" s="61">
        <f>K31</f>
        <v/>
      </c>
      <c r="BO31" s="8" t="n">
        <v>0.02</v>
      </c>
      <c r="BP31" s="10">
        <f>BN31*BO31</f>
        <v/>
      </c>
      <c r="BQ31" s="10">
        <f>BM31-BP31</f>
        <v/>
      </c>
      <c r="BR31" s="11">
        <f>BQ31</f>
        <v/>
      </c>
      <c r="BS31" s="3" t="n">
        <v>27</v>
      </c>
      <c r="BT31" s="18">
        <f>BJ31</f>
        <v/>
      </c>
      <c r="BU31" s="8">
        <f>CB30</f>
        <v/>
      </c>
      <c r="BV31" s="10" t="n">
        <v>0</v>
      </c>
      <c r="BW31" s="8">
        <f>BU31+BV31</f>
        <v/>
      </c>
      <c r="BX31" s="61">
        <f>L31</f>
        <v/>
      </c>
      <c r="BY31" s="8" t="n">
        <v>0.03</v>
      </c>
      <c r="BZ31" s="12">
        <f>BY31*BX31</f>
        <v/>
      </c>
      <c r="CA31" s="10">
        <f>BW31-BZ31</f>
        <v/>
      </c>
      <c r="CB31" s="11">
        <f>CA31</f>
        <v/>
      </c>
      <c r="CC31" s="10">
        <f>BR31+CB31</f>
        <v/>
      </c>
      <c r="CE31" s="3" t="n">
        <v>27</v>
      </c>
      <c r="CF31" s="18">
        <f>BT31</f>
        <v/>
      </c>
      <c r="CG31" s="8">
        <f>CN30</f>
        <v/>
      </c>
      <c r="CH31" s="10" t="n">
        <v>0</v>
      </c>
      <c r="CI31" s="8">
        <f>CG31+CH31</f>
        <v/>
      </c>
      <c r="CJ31" s="61" t="n">
        <v>0</v>
      </c>
      <c r="CK31" s="8" t="n">
        <v>0.02</v>
      </c>
      <c r="CL31" s="10">
        <f>CJ31*CK31</f>
        <v/>
      </c>
      <c r="CM31" s="10">
        <f>CI31-CL31</f>
        <v/>
      </c>
      <c r="CN31" s="11">
        <f>CM31</f>
        <v/>
      </c>
      <c r="CO31" s="3" t="n">
        <v>27</v>
      </c>
      <c r="CP31" s="18">
        <f>CF31</f>
        <v/>
      </c>
      <c r="CQ31" s="8">
        <f>CX30</f>
        <v/>
      </c>
      <c r="CR31" s="10" t="n">
        <v>0</v>
      </c>
      <c r="CS31" s="8">
        <f>CQ31+CR31</f>
        <v/>
      </c>
      <c r="CT31" s="61" t="n">
        <v>0</v>
      </c>
      <c r="CU31" s="8" t="n">
        <v>0.03</v>
      </c>
      <c r="CV31" s="12">
        <f>CU31*CT31</f>
        <v/>
      </c>
      <c r="CW31" s="10">
        <f>CS31-CV31</f>
        <v/>
      </c>
      <c r="CX31" s="11">
        <f>CW31</f>
        <v/>
      </c>
      <c r="CY31" s="10">
        <f>CN31+CX31</f>
        <v/>
      </c>
      <c r="DA31" s="3" t="n">
        <v>27</v>
      </c>
      <c r="DB31" s="18">
        <f>CP31</f>
        <v/>
      </c>
      <c r="DC31" s="8">
        <f>DJ30</f>
        <v/>
      </c>
      <c r="DD31" s="10" t="n">
        <v>0</v>
      </c>
      <c r="DE31" s="8">
        <f>DC31+DD31</f>
        <v/>
      </c>
      <c r="DF31" s="61">
        <f>K31</f>
        <v/>
      </c>
      <c r="DG31" s="106" t="n">
        <v>0.0001</v>
      </c>
      <c r="DH31" s="10">
        <f>DF31*DG31</f>
        <v/>
      </c>
      <c r="DI31" s="10">
        <f>DE31-DH31</f>
        <v/>
      </c>
      <c r="DJ31" s="11">
        <f>DI31</f>
        <v/>
      </c>
      <c r="DK31" s="3" t="n">
        <v>27</v>
      </c>
      <c r="DL31" s="18">
        <f>DB31</f>
        <v/>
      </c>
      <c r="DM31" s="8">
        <f>DT30</f>
        <v/>
      </c>
      <c r="DN31" s="10" t="n">
        <v>0</v>
      </c>
      <c r="DO31" s="8">
        <f>DM31+DN31</f>
        <v/>
      </c>
      <c r="DP31" s="61">
        <f>L31</f>
        <v/>
      </c>
      <c r="DQ31" s="106" t="n">
        <v>0.0003</v>
      </c>
      <c r="DR31" s="12">
        <f>DQ31*DP31</f>
        <v/>
      </c>
      <c r="DS31" s="10">
        <f>DO31-DR31</f>
        <v/>
      </c>
      <c r="DT31" s="11">
        <f>DS31</f>
        <v/>
      </c>
      <c r="DU31" s="10">
        <f>DJ31+DT31</f>
        <v/>
      </c>
      <c r="DW31" s="3" t="n">
        <v>27</v>
      </c>
      <c r="DX31" s="18">
        <f>DL31</f>
        <v/>
      </c>
      <c r="DY31" s="8">
        <f>EF30</f>
        <v/>
      </c>
      <c r="DZ31" s="10" t="n">
        <v>0</v>
      </c>
      <c r="EA31" s="8">
        <f>DY31+DZ31</f>
        <v/>
      </c>
      <c r="EB31" s="61">
        <f>K31</f>
        <v/>
      </c>
      <c r="EC31" s="106" t="n">
        <v>0.0002</v>
      </c>
      <c r="ED31" s="10">
        <f>EB31*EC31</f>
        <v/>
      </c>
      <c r="EE31" s="10">
        <f>EA31-ED31</f>
        <v/>
      </c>
      <c r="EF31" s="11">
        <f>EE31</f>
        <v/>
      </c>
      <c r="EG31" s="3" t="n">
        <v>27</v>
      </c>
      <c r="EH31" s="18">
        <f>DX31</f>
        <v/>
      </c>
      <c r="EI31" s="8">
        <f>EP30</f>
        <v/>
      </c>
      <c r="EJ31" s="10" t="n">
        <v>0</v>
      </c>
      <c r="EK31" s="8">
        <f>EI31+EJ31</f>
        <v/>
      </c>
      <c r="EL31" s="61">
        <f>L31</f>
        <v/>
      </c>
      <c r="EM31" s="106" t="n">
        <v>0.0005999999999999999</v>
      </c>
      <c r="EN31" s="12">
        <f>EM31*EL31</f>
        <v/>
      </c>
      <c r="EO31" s="10">
        <f>EK31-EN31</f>
        <v/>
      </c>
      <c r="EP31" s="11">
        <f>EO31</f>
        <v/>
      </c>
      <c r="EQ31" s="10">
        <f>EF31+EP31</f>
        <v/>
      </c>
      <c r="ES31" s="3" t="n">
        <v>27</v>
      </c>
      <c r="ET31" s="18">
        <f>EH31</f>
        <v/>
      </c>
      <c r="EU31" s="8">
        <f>FB30</f>
        <v/>
      </c>
      <c r="EV31" s="10" t="n">
        <v>0</v>
      </c>
      <c r="EW31" s="8">
        <f>EU31+EV31</f>
        <v/>
      </c>
      <c r="EX31" s="61">
        <f>K31</f>
        <v/>
      </c>
      <c r="EY31" s="107" t="n">
        <v>0.002</v>
      </c>
      <c r="EZ31" s="10">
        <f>EX31*EY31</f>
        <v/>
      </c>
      <c r="FA31" s="10">
        <f>EW31-EZ31</f>
        <v/>
      </c>
      <c r="FB31" s="11">
        <f>FA31</f>
        <v/>
      </c>
      <c r="FC31" s="3" t="n">
        <v>27</v>
      </c>
      <c r="FD31" s="18">
        <f>ET31</f>
        <v/>
      </c>
      <c r="FE31" s="8">
        <f>FL30</f>
        <v/>
      </c>
      <c r="FF31" s="10" t="n">
        <v>0</v>
      </c>
      <c r="FG31" s="8">
        <f>FE31+FF31</f>
        <v/>
      </c>
      <c r="FH31" s="61">
        <f>L31</f>
        <v/>
      </c>
      <c r="FI31" s="107" t="n">
        <v>0.0025</v>
      </c>
      <c r="FJ31" s="12">
        <f>FI31*FH31</f>
        <v/>
      </c>
      <c r="FK31" s="10">
        <f>FG31-FJ31</f>
        <v/>
      </c>
      <c r="FL31" s="11">
        <f>FK31</f>
        <v/>
      </c>
      <c r="FM31" s="10">
        <f>FB31+FL31</f>
        <v/>
      </c>
      <c r="FO31" s="3" t="n">
        <v>27</v>
      </c>
      <c r="FP31" s="18">
        <f>FD31</f>
        <v/>
      </c>
      <c r="FQ31" s="8">
        <f>FX30</f>
        <v/>
      </c>
      <c r="FR31" s="10" t="n">
        <v>0</v>
      </c>
      <c r="FS31" s="8">
        <f>FQ31+FR31</f>
        <v/>
      </c>
      <c r="FT31" s="61">
        <f>K31</f>
        <v/>
      </c>
      <c r="FU31" s="8" t="n">
        <v>0.002</v>
      </c>
      <c r="FV31" s="10">
        <f>FT31*FU31</f>
        <v/>
      </c>
      <c r="FW31" s="10">
        <f>FS31-FV31</f>
        <v/>
      </c>
      <c r="FX31" s="11">
        <f>FW31</f>
        <v/>
      </c>
      <c r="FY31" s="3" t="n">
        <v>27</v>
      </c>
      <c r="FZ31" s="18">
        <f>FP31</f>
        <v/>
      </c>
      <c r="GA31" s="8">
        <f>GH30</f>
        <v/>
      </c>
      <c r="GB31" s="10" t="n">
        <v>0</v>
      </c>
      <c r="GC31" s="8">
        <f>GA31+GB31</f>
        <v/>
      </c>
      <c r="GD31" s="61">
        <f>L31</f>
        <v/>
      </c>
      <c r="GE31" s="8" t="n">
        <v>0.005</v>
      </c>
      <c r="GF31" s="12">
        <f>GE31*GD31</f>
        <v/>
      </c>
      <c r="GG31" s="10">
        <f>GC31-GF31</f>
        <v/>
      </c>
      <c r="GH31" s="11">
        <f>GG31</f>
        <v/>
      </c>
      <c r="GI31" s="10">
        <f>FX31+GH31</f>
        <v/>
      </c>
      <c r="GK31" s="3" t="n">
        <v>27</v>
      </c>
      <c r="GL31" s="18">
        <f>FZ31</f>
        <v/>
      </c>
      <c r="GM31" s="8">
        <f>GT30</f>
        <v/>
      </c>
      <c r="GN31" s="10" t="n">
        <v>0</v>
      </c>
      <c r="GO31" s="8">
        <f>GM31+GN31</f>
        <v/>
      </c>
      <c r="GP31" s="61">
        <f>K31</f>
        <v/>
      </c>
      <c r="GQ31" s="8" t="n">
        <v>0.005</v>
      </c>
      <c r="GR31" s="10">
        <f>GP31*GQ31</f>
        <v/>
      </c>
      <c r="GS31" s="10">
        <f>GO31-GR31</f>
        <v/>
      </c>
      <c r="GT31" s="11">
        <f>GS31</f>
        <v/>
      </c>
      <c r="GU31" s="3" t="n">
        <v>27</v>
      </c>
      <c r="GV31" s="18">
        <f>GL31</f>
        <v/>
      </c>
      <c r="GW31" s="8">
        <f>HD30</f>
        <v/>
      </c>
      <c r="GX31" s="10" t="n">
        <v>0</v>
      </c>
      <c r="GY31" s="8">
        <f>GW31+GX31</f>
        <v/>
      </c>
      <c r="GZ31" s="61">
        <f>L31</f>
        <v/>
      </c>
      <c r="HA31" s="8" t="n">
        <v>0.0075</v>
      </c>
      <c r="HB31" s="12">
        <f>HA31*GZ31</f>
        <v/>
      </c>
      <c r="HC31" s="10">
        <f>GY31-HB31</f>
        <v/>
      </c>
      <c r="HD31" s="11">
        <f>HC31</f>
        <v/>
      </c>
      <c r="HE31" s="10">
        <f>GT31+HD31</f>
        <v/>
      </c>
      <c r="HG31" s="3" t="n">
        <v>27</v>
      </c>
      <c r="HH31" s="18">
        <f>GV31</f>
        <v/>
      </c>
      <c r="HI31" s="61">
        <f>K31</f>
        <v/>
      </c>
      <c r="HJ31" s="22" t="n">
        <v>1</v>
      </c>
      <c r="HK31" s="23">
        <f>HI31*HJ31</f>
        <v/>
      </c>
      <c r="HL31" s="61" t="n">
        <v>0.89</v>
      </c>
      <c r="HM31" s="23">
        <f>HI31*HL31</f>
        <v/>
      </c>
      <c r="HN31" s="22" t="n">
        <v>0.7</v>
      </c>
      <c r="HO31" s="22">
        <f>HN31*HI31</f>
        <v/>
      </c>
      <c r="HP31" s="22" t="n">
        <v>2.59</v>
      </c>
      <c r="HQ31" s="9">
        <f>HI31*HP31</f>
        <v/>
      </c>
      <c r="HR31" s="3" t="n">
        <v>27</v>
      </c>
      <c r="HS31" s="13" t="inlineStr">
        <is>
          <t>27/7/2023</t>
        </is>
      </c>
      <c r="HT31" s="61">
        <f>L31</f>
        <v/>
      </c>
      <c r="HU31" s="22" t="n">
        <v>1.64</v>
      </c>
      <c r="HV31" s="23">
        <f>HT31*HU31</f>
        <v/>
      </c>
      <c r="HW31" s="61" t="n">
        <v>1.14</v>
      </c>
      <c r="HX31" s="23">
        <f>HT31*HW31</f>
        <v/>
      </c>
      <c r="HY31" s="22" t="n">
        <v>1.1</v>
      </c>
      <c r="HZ31" s="22">
        <f>HY31*HT31</f>
        <v/>
      </c>
      <c r="IA31" s="22" t="n">
        <v>3.11</v>
      </c>
      <c r="IB31" s="9">
        <f>HT31*IA31</f>
        <v/>
      </c>
      <c r="IC31" s="9">
        <f>HK31+HV31</f>
        <v/>
      </c>
      <c r="ID31" s="9">
        <f>HM31+HX31</f>
        <v/>
      </c>
      <c r="IE31" s="9">
        <f>HO31+HZ31</f>
        <v/>
      </c>
      <c r="IF31" s="52" t="n"/>
      <c r="IG31" s="109">
        <f>HH31</f>
        <v/>
      </c>
      <c r="IH31" s="132" t="inlineStr">
        <is>
          <t>eaxGokj</t>
        </is>
      </c>
      <c r="II31" s="140" t="inlineStr">
        <is>
          <t>okVk.kk</t>
        </is>
      </c>
      <c r="IJ31" s="105">
        <f>IJ30</f>
        <v/>
      </c>
      <c r="IK31" s="105">
        <f>IJ31</f>
        <v/>
      </c>
      <c r="IL31" s="105">
        <f>K31</f>
        <v/>
      </c>
      <c r="IM31" s="105">
        <f>IL31*100</f>
        <v/>
      </c>
      <c r="IN31" s="105" t="n"/>
      <c r="IO31" s="105">
        <f>IL31*20</f>
        <v/>
      </c>
      <c r="IP31" s="105" t="n"/>
      <c r="IQ31" s="105">
        <f>IL31*0.3</f>
        <v/>
      </c>
      <c r="IR31" s="105">
        <f>IL31*0.4</f>
        <v/>
      </c>
      <c r="IS31" s="105">
        <f>IL31*1.5</f>
        <v/>
      </c>
      <c r="IT31" s="105">
        <f>IL31*5</f>
        <v/>
      </c>
      <c r="IU31" s="105">
        <f>IL31*2</f>
        <v/>
      </c>
      <c r="IV31" s="105">
        <f>IL31*2.08</f>
        <v/>
      </c>
      <c r="IW31" s="13" t="n"/>
      <c r="IX31" s="105">
        <f>IL31*2.08</f>
        <v/>
      </c>
      <c r="IY31" s="13" t="n"/>
      <c r="IZ31" s="109">
        <f>IG31</f>
        <v/>
      </c>
      <c r="JA31" s="132" t="inlineStr">
        <is>
          <t>eaxGokj</t>
        </is>
      </c>
      <c r="JB31" s="140" t="inlineStr">
        <is>
          <t>okVk.kk</t>
        </is>
      </c>
      <c r="JC31" s="105">
        <f>JC30</f>
        <v/>
      </c>
      <c r="JD31" s="105">
        <f>JC31</f>
        <v/>
      </c>
      <c r="JE31" s="105">
        <f>L31</f>
        <v/>
      </c>
      <c r="JF31" s="105">
        <f>JE31*150</f>
        <v/>
      </c>
      <c r="JG31" s="105" t="n"/>
      <c r="JH31" s="105" t="n"/>
      <c r="JI31" s="105">
        <f>JE31*30</f>
        <v/>
      </c>
      <c r="JJ31" s="105">
        <f>JE31*0.25</f>
        <v/>
      </c>
      <c r="JK31" s="105">
        <f>JE31*0.4</f>
        <v/>
      </c>
      <c r="JL31" s="105">
        <f>JE31*2.5</f>
        <v/>
      </c>
      <c r="JM31" s="105">
        <f>JE31*7.5</f>
        <v/>
      </c>
      <c r="JN31" s="105">
        <f>JE31*4</f>
        <v/>
      </c>
      <c r="JO31" s="105">
        <f>JE31*3.11</f>
        <v/>
      </c>
      <c r="JP31" s="13" t="n"/>
      <c r="JQ31" s="105">
        <f>JE31*3.11</f>
        <v/>
      </c>
      <c r="JR31" s="13" t="n"/>
      <c r="JS31" s="52" t="n"/>
      <c r="JT31" s="52" t="n"/>
      <c r="JU31" s="52" t="n"/>
      <c r="JV31" s="52" t="n"/>
      <c r="JW31" s="52" t="n"/>
      <c r="JX31" s="52" t="n"/>
      <c r="JY31" s="52" t="n"/>
      <c r="JZ31" s="52" t="n"/>
      <c r="KA31" s="52" t="n"/>
      <c r="KB31" s="52" t="n"/>
      <c r="KC31" s="52" t="n"/>
      <c r="KD31" s="52" t="n"/>
      <c r="KE31" s="52" t="n"/>
      <c r="KF31" s="52" t="n"/>
      <c r="KG31" s="52" t="n"/>
      <c r="KH31" s="52" t="n"/>
      <c r="KI31" s="52" t="n"/>
    </row>
    <row r="32" ht="35.1" customFormat="1" customHeight="1" s="14">
      <c r="A32" s="132" t="inlineStr">
        <is>
          <t>eaxGokj</t>
        </is>
      </c>
      <c r="B32" s="114" t="inlineStr">
        <is>
          <t>28/04/2026</t>
        </is>
      </c>
      <c r="C32" s="108" t="n">
        <v>0</v>
      </c>
      <c r="D32" s="108">
        <f>C32</f>
        <v/>
      </c>
      <c r="E32" s="108" t="n">
        <v>0</v>
      </c>
      <c r="F32" s="108" t="n">
        <v>0</v>
      </c>
      <c r="G32" s="108" t="n">
        <v>0</v>
      </c>
      <c r="H32" s="108">
        <f>G32+F32+E32</f>
        <v/>
      </c>
      <c r="I32" s="132" t="inlineStr">
        <is>
          <t>eaxGokj</t>
        </is>
      </c>
      <c r="J32" s="114" t="inlineStr">
        <is>
          <t>28/04/2026</t>
        </is>
      </c>
      <c r="K32" s="61">
        <f>D32</f>
        <v/>
      </c>
      <c r="L32" s="61">
        <f>H32</f>
        <v/>
      </c>
      <c r="M32" s="61">
        <f>SUM(K32:L32)</f>
        <v/>
      </c>
      <c r="N32" s="140" t="inlineStr">
        <is>
          <t>poGh</t>
        </is>
      </c>
      <c r="O32" s="89" t="n"/>
      <c r="Q32" s="3" t="n">
        <v>28</v>
      </c>
      <c r="R32" s="114" t="inlineStr">
        <is>
          <t>28/04/2026</t>
        </is>
      </c>
      <c r="S32" s="11">
        <f>Z31</f>
        <v/>
      </c>
      <c r="T32" s="10" t="n">
        <v>0</v>
      </c>
      <c r="U32" s="8">
        <f>S32+T32</f>
        <v/>
      </c>
      <c r="V32" s="61">
        <f>K32</f>
        <v/>
      </c>
      <c r="W32" s="8" t="n">
        <v>0.1</v>
      </c>
      <c r="X32" s="10">
        <f>V32*W32</f>
        <v/>
      </c>
      <c r="Y32" s="10">
        <f>U32-X32</f>
        <v/>
      </c>
      <c r="Z32" s="11">
        <f>Y32</f>
        <v/>
      </c>
      <c r="AA32" s="3" t="n">
        <v>28</v>
      </c>
      <c r="AB32" s="18">
        <f>R32</f>
        <v/>
      </c>
      <c r="AC32" s="8">
        <f>AJ31</f>
        <v/>
      </c>
      <c r="AD32" s="10" t="n">
        <v>0</v>
      </c>
      <c r="AE32" s="8">
        <f>AC32+AD32</f>
        <v/>
      </c>
      <c r="AF32" s="61">
        <f>L32</f>
        <v/>
      </c>
      <c r="AG32" s="8" t="n">
        <v>0.15</v>
      </c>
      <c r="AH32" s="12">
        <f>AG32*AF32</f>
        <v/>
      </c>
      <c r="AI32" s="10">
        <f>AE32-AH32</f>
        <v/>
      </c>
      <c r="AJ32" s="11">
        <f>AI32</f>
        <v/>
      </c>
      <c r="AK32" s="10">
        <f>Z32+AJ32</f>
        <v/>
      </c>
      <c r="AM32" s="3" t="n">
        <v>28</v>
      </c>
      <c r="AN32" s="18">
        <f>AB32</f>
        <v/>
      </c>
      <c r="AO32" s="8">
        <f>AV31</f>
        <v/>
      </c>
      <c r="AP32" s="10" t="n">
        <v>0</v>
      </c>
      <c r="AQ32" s="8">
        <f>AO32+AP32</f>
        <v/>
      </c>
      <c r="AR32" s="61">
        <f>K32</f>
        <v/>
      </c>
      <c r="AS32" s="8" t="n">
        <v>0.02</v>
      </c>
      <c r="AT32" s="10">
        <f>AR32*AS32</f>
        <v/>
      </c>
      <c r="AU32" s="10">
        <f>AQ32-AT32</f>
        <v/>
      </c>
      <c r="AV32" s="11">
        <f>AU32</f>
        <v/>
      </c>
      <c r="AW32" s="3" t="n">
        <v>28</v>
      </c>
      <c r="AX32" s="18">
        <f>AN32</f>
        <v/>
      </c>
      <c r="AY32" s="8">
        <f>BF31</f>
        <v/>
      </c>
      <c r="AZ32" s="10" t="n">
        <v>0</v>
      </c>
      <c r="BA32" s="8">
        <f>AY32+AZ32</f>
        <v/>
      </c>
      <c r="BB32" s="61">
        <f>L32</f>
        <v/>
      </c>
      <c r="BC32" s="8" t="n">
        <v>0.03</v>
      </c>
      <c r="BD32" s="12">
        <f>BC32*BB32</f>
        <v/>
      </c>
      <c r="BE32" s="10">
        <f>BA32-BD32</f>
        <v/>
      </c>
      <c r="BF32" s="11">
        <f>BE32</f>
        <v/>
      </c>
      <c r="BG32" s="10">
        <f>AV32+BF32</f>
        <v/>
      </c>
      <c r="BI32" s="3" t="n">
        <v>28</v>
      </c>
      <c r="BJ32" s="18">
        <f>AX32</f>
        <v/>
      </c>
      <c r="BK32" s="8">
        <f>BR31</f>
        <v/>
      </c>
      <c r="BL32" s="10" t="n">
        <v>0</v>
      </c>
      <c r="BM32" s="8">
        <f>BK32+BL32</f>
        <v/>
      </c>
      <c r="BN32" s="61" t="n">
        <v>0</v>
      </c>
      <c r="BO32" s="8" t="n">
        <v>0.02</v>
      </c>
      <c r="BP32" s="10">
        <f>BN32*BO32</f>
        <v/>
      </c>
      <c r="BQ32" s="10">
        <f>BM32-BP32</f>
        <v/>
      </c>
      <c r="BR32" s="11">
        <f>BQ32</f>
        <v/>
      </c>
      <c r="BS32" s="3" t="n">
        <v>28</v>
      </c>
      <c r="BT32" s="18">
        <f>BJ32</f>
        <v/>
      </c>
      <c r="BU32" s="8">
        <f>CB31</f>
        <v/>
      </c>
      <c r="BV32" s="10" t="n">
        <v>0</v>
      </c>
      <c r="BW32" s="8">
        <f>BU32+BV32</f>
        <v/>
      </c>
      <c r="BX32" s="61" t="n">
        <v>0</v>
      </c>
      <c r="BY32" s="8" t="n">
        <v>0.03</v>
      </c>
      <c r="BZ32" s="12">
        <f>BY32*BX32</f>
        <v/>
      </c>
      <c r="CA32" s="10">
        <f>BW32-BZ32</f>
        <v/>
      </c>
      <c r="CB32" s="11">
        <f>CA32</f>
        <v/>
      </c>
      <c r="CC32" s="10">
        <f>BR32+CB32</f>
        <v/>
      </c>
      <c r="CE32" s="3" t="n">
        <v>28</v>
      </c>
      <c r="CF32" s="18">
        <f>BT32</f>
        <v/>
      </c>
      <c r="CG32" s="8">
        <f>CN31</f>
        <v/>
      </c>
      <c r="CH32" s="10" t="n">
        <v>0</v>
      </c>
      <c r="CI32" s="8">
        <f>CG32+CH32</f>
        <v/>
      </c>
      <c r="CJ32" s="61" t="n">
        <v>0</v>
      </c>
      <c r="CK32" s="8" t="n">
        <v>0.02</v>
      </c>
      <c r="CL32" s="10">
        <f>CJ32*CK32</f>
        <v/>
      </c>
      <c r="CM32" s="10">
        <f>CI32-CL32</f>
        <v/>
      </c>
      <c r="CN32" s="11">
        <f>CM32</f>
        <v/>
      </c>
      <c r="CO32" s="3" t="n">
        <v>28</v>
      </c>
      <c r="CP32" s="18">
        <f>CF32</f>
        <v/>
      </c>
      <c r="CQ32" s="8">
        <f>CX31</f>
        <v/>
      </c>
      <c r="CR32" s="10" t="n">
        <v>0</v>
      </c>
      <c r="CS32" s="8">
        <f>CQ32+CR32</f>
        <v/>
      </c>
      <c r="CT32" s="61" t="n">
        <v>0</v>
      </c>
      <c r="CU32" s="8" t="n">
        <v>0.03</v>
      </c>
      <c r="CV32" s="12">
        <f>CU32*CT32</f>
        <v/>
      </c>
      <c r="CW32" s="10">
        <f>CS32-CV32</f>
        <v/>
      </c>
      <c r="CX32" s="11">
        <f>CW32</f>
        <v/>
      </c>
      <c r="CY32" s="10">
        <f>CN32+CX32</f>
        <v/>
      </c>
      <c r="DA32" s="3" t="n">
        <v>28</v>
      </c>
      <c r="DB32" s="18">
        <f>CP32</f>
        <v/>
      </c>
      <c r="DC32" s="8">
        <f>DJ31</f>
        <v/>
      </c>
      <c r="DD32" s="10" t="n">
        <v>0</v>
      </c>
      <c r="DE32" s="8">
        <f>DC32+DD32</f>
        <v/>
      </c>
      <c r="DF32" s="61">
        <f>K32</f>
        <v/>
      </c>
      <c r="DG32" s="106" t="n">
        <v>0.0001</v>
      </c>
      <c r="DH32" s="10">
        <f>DF32*DG32</f>
        <v/>
      </c>
      <c r="DI32" s="10">
        <f>DE32-DH32</f>
        <v/>
      </c>
      <c r="DJ32" s="11">
        <f>DI32</f>
        <v/>
      </c>
      <c r="DK32" s="3" t="n">
        <v>28</v>
      </c>
      <c r="DL32" s="18">
        <f>DB32</f>
        <v/>
      </c>
      <c r="DM32" s="8">
        <f>DT31</f>
        <v/>
      </c>
      <c r="DN32" s="10" t="n">
        <v>0</v>
      </c>
      <c r="DO32" s="8">
        <f>DM32+DN32</f>
        <v/>
      </c>
      <c r="DP32" s="61">
        <f>L32</f>
        <v/>
      </c>
      <c r="DQ32" s="106" t="n">
        <v>0.0003</v>
      </c>
      <c r="DR32" s="12">
        <f>DQ32*DP32</f>
        <v/>
      </c>
      <c r="DS32" s="10">
        <f>DO32-DR32</f>
        <v/>
      </c>
      <c r="DT32" s="11">
        <f>DS32</f>
        <v/>
      </c>
      <c r="DU32" s="10">
        <f>DJ32+DT32</f>
        <v/>
      </c>
      <c r="DW32" s="3" t="n">
        <v>28</v>
      </c>
      <c r="DX32" s="18">
        <f>DL32</f>
        <v/>
      </c>
      <c r="DY32" s="8">
        <f>EF31</f>
        <v/>
      </c>
      <c r="DZ32" s="10" t="n">
        <v>0</v>
      </c>
      <c r="EA32" s="8">
        <f>DY32+DZ32</f>
        <v/>
      </c>
      <c r="EB32" s="61">
        <f>K32</f>
        <v/>
      </c>
      <c r="EC32" s="106" t="n">
        <v>0.0002</v>
      </c>
      <c r="ED32" s="10">
        <f>EB32*EC32</f>
        <v/>
      </c>
      <c r="EE32" s="10">
        <f>EA32-ED32</f>
        <v/>
      </c>
      <c r="EF32" s="11">
        <f>EE32</f>
        <v/>
      </c>
      <c r="EG32" s="3" t="n">
        <v>28</v>
      </c>
      <c r="EH32" s="18">
        <f>DX32</f>
        <v/>
      </c>
      <c r="EI32" s="8">
        <f>EP31</f>
        <v/>
      </c>
      <c r="EJ32" s="10" t="n">
        <v>0</v>
      </c>
      <c r="EK32" s="8">
        <f>EI32+EJ32</f>
        <v/>
      </c>
      <c r="EL32" s="61">
        <f>L32</f>
        <v/>
      </c>
      <c r="EM32" s="106" t="n">
        <v>0.0005999999999999999</v>
      </c>
      <c r="EN32" s="12">
        <f>EM32*EL32</f>
        <v/>
      </c>
      <c r="EO32" s="10">
        <f>EK32-EN32</f>
        <v/>
      </c>
      <c r="EP32" s="11">
        <f>EO32</f>
        <v/>
      </c>
      <c r="EQ32" s="10">
        <f>EF32+EP32</f>
        <v/>
      </c>
      <c r="ES32" s="3" t="n">
        <v>28</v>
      </c>
      <c r="ET32" s="18">
        <f>EH32</f>
        <v/>
      </c>
      <c r="EU32" s="8">
        <f>FB31</f>
        <v/>
      </c>
      <c r="EV32" s="10" t="n">
        <v>0</v>
      </c>
      <c r="EW32" s="8">
        <f>EU32+EV32</f>
        <v/>
      </c>
      <c r="EX32" s="61">
        <f>K32</f>
        <v/>
      </c>
      <c r="EY32" s="107" t="n">
        <v>0.002</v>
      </c>
      <c r="EZ32" s="10">
        <f>EX32*EY32</f>
        <v/>
      </c>
      <c r="FA32" s="10">
        <f>EW32-EZ32</f>
        <v/>
      </c>
      <c r="FB32" s="11">
        <f>FA32</f>
        <v/>
      </c>
      <c r="FC32" s="3" t="n">
        <v>28</v>
      </c>
      <c r="FD32" s="18">
        <f>ET32</f>
        <v/>
      </c>
      <c r="FE32" s="8">
        <f>FL31</f>
        <v/>
      </c>
      <c r="FF32" s="10" t="n">
        <v>0</v>
      </c>
      <c r="FG32" s="8">
        <f>FE32+FF32</f>
        <v/>
      </c>
      <c r="FH32" s="61">
        <f>L32</f>
        <v/>
      </c>
      <c r="FI32" s="107" t="n">
        <v>0.0025</v>
      </c>
      <c r="FJ32" s="12">
        <f>FI32*FH32</f>
        <v/>
      </c>
      <c r="FK32" s="10">
        <f>FG32-FJ32</f>
        <v/>
      </c>
      <c r="FL32" s="11">
        <f>FK32</f>
        <v/>
      </c>
      <c r="FM32" s="10">
        <f>FB32+FL32</f>
        <v/>
      </c>
      <c r="FO32" s="3" t="n">
        <v>28</v>
      </c>
      <c r="FP32" s="18">
        <f>FD32</f>
        <v/>
      </c>
      <c r="FQ32" s="8">
        <f>FX31</f>
        <v/>
      </c>
      <c r="FR32" s="10" t="n">
        <v>0</v>
      </c>
      <c r="FS32" s="8">
        <f>FQ32+FR32</f>
        <v/>
      </c>
      <c r="FT32" s="61">
        <f>K32</f>
        <v/>
      </c>
      <c r="FU32" s="8" t="n">
        <v>0.002</v>
      </c>
      <c r="FV32" s="10">
        <f>FT32*FU32</f>
        <v/>
      </c>
      <c r="FW32" s="10">
        <f>FS32-FV32</f>
        <v/>
      </c>
      <c r="FX32" s="11">
        <f>FW32</f>
        <v/>
      </c>
      <c r="FY32" s="3" t="n">
        <v>28</v>
      </c>
      <c r="FZ32" s="18">
        <f>FP32</f>
        <v/>
      </c>
      <c r="GA32" s="8">
        <f>GH31</f>
        <v/>
      </c>
      <c r="GB32" s="10" t="n">
        <v>0</v>
      </c>
      <c r="GC32" s="8">
        <f>GA32+GB32</f>
        <v/>
      </c>
      <c r="GD32" s="61">
        <f>L32</f>
        <v/>
      </c>
      <c r="GE32" s="8" t="n">
        <v>0.005</v>
      </c>
      <c r="GF32" s="12">
        <f>GE32*GD32</f>
        <v/>
      </c>
      <c r="GG32" s="10">
        <f>GC32-GF32</f>
        <v/>
      </c>
      <c r="GH32" s="11">
        <f>GG32</f>
        <v/>
      </c>
      <c r="GI32" s="10">
        <f>FX32+GH32</f>
        <v/>
      </c>
      <c r="GK32" s="3" t="n">
        <v>28</v>
      </c>
      <c r="GL32" s="18">
        <f>FZ32</f>
        <v/>
      </c>
      <c r="GM32" s="8">
        <f>GT31</f>
        <v/>
      </c>
      <c r="GN32" s="10" t="n">
        <v>0</v>
      </c>
      <c r="GO32" s="8">
        <f>GM32+GN32</f>
        <v/>
      </c>
      <c r="GP32" s="61">
        <f>K32</f>
        <v/>
      </c>
      <c r="GQ32" s="8" t="n">
        <v>0.005</v>
      </c>
      <c r="GR32" s="10">
        <f>GP32*GQ32</f>
        <v/>
      </c>
      <c r="GS32" s="10">
        <f>GO32-GR32</f>
        <v/>
      </c>
      <c r="GT32" s="11">
        <f>GS32</f>
        <v/>
      </c>
      <c r="GU32" s="3" t="n">
        <v>28</v>
      </c>
      <c r="GV32" s="18">
        <f>GL32</f>
        <v/>
      </c>
      <c r="GW32" s="8">
        <f>HD31</f>
        <v/>
      </c>
      <c r="GX32" s="10" t="n">
        <v>0</v>
      </c>
      <c r="GY32" s="8">
        <f>GW32+GX32</f>
        <v/>
      </c>
      <c r="GZ32" s="61">
        <f>L32</f>
        <v/>
      </c>
      <c r="HA32" s="8" t="n">
        <v>0.0075</v>
      </c>
      <c r="HB32" s="12">
        <f>HA32*GZ32</f>
        <v/>
      </c>
      <c r="HC32" s="10">
        <f>GY32-HB32</f>
        <v/>
      </c>
      <c r="HD32" s="11">
        <f>HC32</f>
        <v/>
      </c>
      <c r="HE32" s="10">
        <f>GT32+HD32</f>
        <v/>
      </c>
      <c r="HG32" s="3" t="n">
        <v>28</v>
      </c>
      <c r="HH32" s="18">
        <f>GV32</f>
        <v/>
      </c>
      <c r="HI32" s="61">
        <f>K32</f>
        <v/>
      </c>
      <c r="HJ32" s="22" t="n">
        <v>1</v>
      </c>
      <c r="HK32" s="23">
        <f>HI32*HJ32</f>
        <v/>
      </c>
      <c r="HL32" s="61" t="n">
        <v>0.89</v>
      </c>
      <c r="HM32" s="23">
        <f>HI32*HL32</f>
        <v/>
      </c>
      <c r="HN32" s="22" t="n">
        <v>0.7</v>
      </c>
      <c r="HO32" s="22">
        <f>HN32*HI32</f>
        <v/>
      </c>
      <c r="HP32" s="22" t="n">
        <v>2.59</v>
      </c>
      <c r="HQ32" s="9">
        <f>HI32*HP32</f>
        <v/>
      </c>
      <c r="HR32" s="3" t="n">
        <v>28</v>
      </c>
      <c r="HS32" s="13" t="inlineStr">
        <is>
          <t>28/7/2023</t>
        </is>
      </c>
      <c r="HT32" s="61">
        <f>L32</f>
        <v/>
      </c>
      <c r="HU32" s="22" t="n">
        <v>1.64</v>
      </c>
      <c r="HV32" s="23">
        <f>HT32*HU32</f>
        <v/>
      </c>
      <c r="HW32" s="61" t="n">
        <v>1.14</v>
      </c>
      <c r="HX32" s="23">
        <f>HT32*HW32</f>
        <v/>
      </c>
      <c r="HY32" s="22" t="n">
        <v>1.1</v>
      </c>
      <c r="HZ32" s="22">
        <f>HY32*HT32</f>
        <v/>
      </c>
      <c r="IA32" s="22" t="n">
        <v>3.11</v>
      </c>
      <c r="IB32" s="9">
        <f>HT32*IA32</f>
        <v/>
      </c>
      <c r="IC32" s="9">
        <f>HK32+HV32</f>
        <v/>
      </c>
      <c r="ID32" s="9">
        <f>HM32+HX32</f>
        <v/>
      </c>
      <c r="IE32" s="9">
        <f>HO32+HZ32</f>
        <v/>
      </c>
      <c r="IF32" s="52" t="n"/>
      <c r="IG32" s="109">
        <f>HH32</f>
        <v/>
      </c>
      <c r="IH32" s="132" t="inlineStr">
        <is>
          <t>cq/kokj</t>
        </is>
      </c>
      <c r="II32" s="140" t="inlineStr">
        <is>
          <t>gjcjk</t>
        </is>
      </c>
      <c r="IJ32" s="105">
        <f>IJ31</f>
        <v/>
      </c>
      <c r="IK32" s="105">
        <f>IJ32</f>
        <v/>
      </c>
      <c r="IL32" s="105">
        <f>K32</f>
        <v/>
      </c>
      <c r="IM32" s="105">
        <f>IL32*100</f>
        <v/>
      </c>
      <c r="IN32" s="105" t="n"/>
      <c r="IO32" s="105" t="n"/>
      <c r="IP32" s="105">
        <f>IL32*20</f>
        <v/>
      </c>
      <c r="IQ32" s="105">
        <f>IL32*0.3</f>
        <v/>
      </c>
      <c r="IR32" s="105">
        <f>IL32*0.4</f>
        <v/>
      </c>
      <c r="IS32" s="105">
        <f>IL32*1.5</f>
        <v/>
      </c>
      <c r="IT32" s="105">
        <f>IL32*5</f>
        <v/>
      </c>
      <c r="IU32" s="105">
        <f>IL32*2</f>
        <v/>
      </c>
      <c r="IV32" s="105">
        <f>IL32*2.08</f>
        <v/>
      </c>
      <c r="IW32" s="13" t="n"/>
      <c r="IX32" s="105">
        <f>IL32*2.08</f>
        <v/>
      </c>
      <c r="IY32" s="13" t="n"/>
      <c r="IZ32" s="109">
        <f>IG32</f>
        <v/>
      </c>
      <c r="JA32" s="132" t="inlineStr">
        <is>
          <t>cq/kokj</t>
        </is>
      </c>
      <c r="JB32" s="140" t="inlineStr">
        <is>
          <t>gjcjk</t>
        </is>
      </c>
      <c r="JC32" s="105">
        <f>JC31</f>
        <v/>
      </c>
      <c r="JD32" s="105">
        <f>JC32</f>
        <v/>
      </c>
      <c r="JE32" s="105">
        <f>L32</f>
        <v/>
      </c>
      <c r="JF32" s="105">
        <f>JE32*150</f>
        <v/>
      </c>
      <c r="JG32" s="105">
        <f>JE32*30</f>
        <v/>
      </c>
      <c r="JH32" s="105" t="n"/>
      <c r="JI32" s="105" t="n"/>
      <c r="JJ32" s="105">
        <f>JE32*0.25</f>
        <v/>
      </c>
      <c r="JK32" s="105">
        <f>JE32*0.4</f>
        <v/>
      </c>
      <c r="JL32" s="105">
        <f>JE32*2.5</f>
        <v/>
      </c>
      <c r="JM32" s="105">
        <f>JE32*7.5</f>
        <v/>
      </c>
      <c r="JN32" s="105">
        <f>JE32*4</f>
        <v/>
      </c>
      <c r="JO32" s="105">
        <f>JE32*3.11</f>
        <v/>
      </c>
      <c r="JP32" s="13" t="n"/>
      <c r="JQ32" s="105">
        <f>JE32*3.11</f>
        <v/>
      </c>
      <c r="JR32" s="13" t="n"/>
      <c r="JS32" s="52" t="n"/>
      <c r="JT32" s="52" t="n"/>
      <c r="JU32" s="52" t="n"/>
      <c r="JV32" s="52" t="n"/>
      <c r="JW32" s="52" t="n"/>
      <c r="JX32" s="52" t="n"/>
      <c r="JY32" s="52" t="n"/>
      <c r="JZ32" s="52" t="n"/>
      <c r="KA32" s="52" t="n"/>
      <c r="KB32" s="52" t="n"/>
      <c r="KC32" s="52" t="n"/>
      <c r="KD32" s="52" t="n"/>
      <c r="KE32" s="52" t="n"/>
      <c r="KF32" s="52" t="n"/>
      <c r="KG32" s="52" t="n"/>
      <c r="KH32" s="52" t="n"/>
      <c r="KI32" s="52" t="n"/>
    </row>
    <row r="33" ht="35.1" customFormat="1" customHeight="1" s="14">
      <c r="A33" s="132" t="inlineStr">
        <is>
          <t>cq/kokj</t>
        </is>
      </c>
      <c r="B33" s="114" t="inlineStr">
        <is>
          <t>29/04/2026</t>
        </is>
      </c>
      <c r="C33" s="108" t="n">
        <v>0</v>
      </c>
      <c r="D33" s="108">
        <f>C33</f>
        <v/>
      </c>
      <c r="E33" s="108" t="n">
        <v>0</v>
      </c>
      <c r="F33" s="108" t="n">
        <v>0</v>
      </c>
      <c r="G33" s="108" t="n">
        <v>0</v>
      </c>
      <c r="H33" s="108">
        <f>G33+F33+E33</f>
        <v/>
      </c>
      <c r="I33" s="132" t="inlineStr">
        <is>
          <t>cq/kokj</t>
        </is>
      </c>
      <c r="J33" s="114" t="inlineStr">
        <is>
          <t>29/04/2026</t>
        </is>
      </c>
      <c r="K33" s="61">
        <f>D33</f>
        <v/>
      </c>
      <c r="L33" s="61">
        <f>H33</f>
        <v/>
      </c>
      <c r="M33" s="61">
        <f>SUM(K33:L33)</f>
        <v/>
      </c>
      <c r="N33" s="140" t="inlineStr">
        <is>
          <t>gjcjk</t>
        </is>
      </c>
      <c r="O33" s="89" t="n"/>
      <c r="Q33" s="3" t="n">
        <v>29</v>
      </c>
      <c r="R33" s="114" t="inlineStr">
        <is>
          <t>29/04/2026</t>
        </is>
      </c>
      <c r="S33" s="11">
        <f>Z32</f>
        <v/>
      </c>
      <c r="T33" s="10" t="n">
        <v>0</v>
      </c>
      <c r="U33" s="8">
        <f>S33+T33</f>
        <v/>
      </c>
      <c r="V33" s="61">
        <f>K33</f>
        <v/>
      </c>
      <c r="W33" s="8" t="n">
        <v>0.1</v>
      </c>
      <c r="X33" s="10">
        <f>V33*W33</f>
        <v/>
      </c>
      <c r="Y33" s="10">
        <f>U33-X33</f>
        <v/>
      </c>
      <c r="Z33" s="11">
        <f>Y33</f>
        <v/>
      </c>
      <c r="AA33" s="3" t="n">
        <v>29</v>
      </c>
      <c r="AB33" s="18">
        <f>R33</f>
        <v/>
      </c>
      <c r="AC33" s="8">
        <f>AJ32</f>
        <v/>
      </c>
      <c r="AD33" s="10" t="n">
        <v>0</v>
      </c>
      <c r="AE33" s="8">
        <f>AC33+AD33</f>
        <v/>
      </c>
      <c r="AF33" s="61">
        <f>L33</f>
        <v/>
      </c>
      <c r="AG33" s="8" t="n">
        <v>0.15</v>
      </c>
      <c r="AH33" s="12">
        <f>AG33*AF33</f>
        <v/>
      </c>
      <c r="AI33" s="10">
        <f>AE33-AH33</f>
        <v/>
      </c>
      <c r="AJ33" s="11">
        <f>AI33</f>
        <v/>
      </c>
      <c r="AK33" s="10">
        <f>Z33+AJ33</f>
        <v/>
      </c>
      <c r="AM33" s="3" t="n">
        <v>29</v>
      </c>
      <c r="AN33" s="18">
        <f>AB33</f>
        <v/>
      </c>
      <c r="AO33" s="8">
        <f>AV32</f>
        <v/>
      </c>
      <c r="AP33" s="10" t="n">
        <v>0</v>
      </c>
      <c r="AQ33" s="8">
        <f>AO33+AP33</f>
        <v/>
      </c>
      <c r="AR33" s="61" t="n">
        <v>0</v>
      </c>
      <c r="AS33" s="8" t="n">
        <v>0.02</v>
      </c>
      <c r="AT33" s="10">
        <f>AR33*AS33</f>
        <v/>
      </c>
      <c r="AU33" s="10">
        <f>AQ33-AT33</f>
        <v/>
      </c>
      <c r="AV33" s="11">
        <f>AU33</f>
        <v/>
      </c>
      <c r="AW33" s="3" t="n">
        <v>29</v>
      </c>
      <c r="AX33" s="18">
        <f>AN33</f>
        <v/>
      </c>
      <c r="AY33" s="8">
        <f>BF32</f>
        <v/>
      </c>
      <c r="AZ33" s="10" t="n">
        <v>0</v>
      </c>
      <c r="BA33" s="8">
        <f>AY33+AZ33</f>
        <v/>
      </c>
      <c r="BB33" s="61" t="n">
        <v>0</v>
      </c>
      <c r="BC33" s="8" t="n">
        <v>0.03</v>
      </c>
      <c r="BD33" s="12">
        <f>BC33*BB33</f>
        <v/>
      </c>
      <c r="BE33" s="10">
        <f>BA33-BD33</f>
        <v/>
      </c>
      <c r="BF33" s="11">
        <f>BE33</f>
        <v/>
      </c>
      <c r="BG33" s="10">
        <f>AV33+BF33</f>
        <v/>
      </c>
      <c r="BI33" s="3" t="n">
        <v>29</v>
      </c>
      <c r="BJ33" s="18">
        <f>AX33</f>
        <v/>
      </c>
      <c r="BK33" s="8">
        <f>BR32</f>
        <v/>
      </c>
      <c r="BL33" s="10" t="n">
        <v>0</v>
      </c>
      <c r="BM33" s="8">
        <f>BK33+BL33</f>
        <v/>
      </c>
      <c r="BN33" s="61" t="n">
        <v>0</v>
      </c>
      <c r="BO33" s="8" t="n">
        <v>0.02</v>
      </c>
      <c r="BP33" s="10">
        <f>BN33*BO33</f>
        <v/>
      </c>
      <c r="BQ33" s="10">
        <f>BM33-BP33</f>
        <v/>
      </c>
      <c r="BR33" s="11">
        <f>BQ33</f>
        <v/>
      </c>
      <c r="BS33" s="3" t="n">
        <v>29</v>
      </c>
      <c r="BT33" s="18">
        <f>BJ33</f>
        <v/>
      </c>
      <c r="BU33" s="8">
        <f>CB32</f>
        <v/>
      </c>
      <c r="BV33" s="10" t="n">
        <v>0</v>
      </c>
      <c r="BW33" s="8">
        <f>BU33+BV33</f>
        <v/>
      </c>
      <c r="BX33" s="61" t="n">
        <v>0</v>
      </c>
      <c r="BY33" s="8" t="n">
        <v>0.03</v>
      </c>
      <c r="BZ33" s="12">
        <f>BY33*BX33</f>
        <v/>
      </c>
      <c r="CA33" s="10">
        <f>BW33-BZ33</f>
        <v/>
      </c>
      <c r="CB33" s="11">
        <f>CA33</f>
        <v/>
      </c>
      <c r="CC33" s="10">
        <f>BR33+CB33</f>
        <v/>
      </c>
      <c r="CE33" s="3" t="n">
        <v>29</v>
      </c>
      <c r="CF33" s="18">
        <f>BT33</f>
        <v/>
      </c>
      <c r="CG33" s="8">
        <f>CN32</f>
        <v/>
      </c>
      <c r="CH33" s="10" t="n">
        <v>0</v>
      </c>
      <c r="CI33" s="8">
        <f>CG33+CH33</f>
        <v/>
      </c>
      <c r="CJ33" s="61">
        <f>K33</f>
        <v/>
      </c>
      <c r="CK33" s="8" t="n">
        <v>0.02</v>
      </c>
      <c r="CL33" s="10">
        <f>CJ33*CK33</f>
        <v/>
      </c>
      <c r="CM33" s="10">
        <f>CI33-CL33</f>
        <v/>
      </c>
      <c r="CN33" s="11">
        <f>CM33</f>
        <v/>
      </c>
      <c r="CO33" s="3" t="n">
        <v>29</v>
      </c>
      <c r="CP33" s="18">
        <f>CF33</f>
        <v/>
      </c>
      <c r="CQ33" s="8">
        <f>CX32</f>
        <v/>
      </c>
      <c r="CR33" s="10" t="n">
        <v>0</v>
      </c>
      <c r="CS33" s="8">
        <f>CQ33+CR33</f>
        <v/>
      </c>
      <c r="CT33" s="61">
        <f>L33</f>
        <v/>
      </c>
      <c r="CU33" s="8" t="n">
        <v>0.03</v>
      </c>
      <c r="CV33" s="12">
        <f>CU33*CT33</f>
        <v/>
      </c>
      <c r="CW33" s="10">
        <f>CS33-CV33</f>
        <v/>
      </c>
      <c r="CX33" s="11">
        <f>CW33</f>
        <v/>
      </c>
      <c r="CY33" s="10">
        <f>CN33+CX33</f>
        <v/>
      </c>
      <c r="DA33" s="3" t="n">
        <v>29</v>
      </c>
      <c r="DB33" s="18">
        <f>CP33</f>
        <v/>
      </c>
      <c r="DC33" s="8">
        <f>DJ32</f>
        <v/>
      </c>
      <c r="DD33" s="10" t="n">
        <v>0</v>
      </c>
      <c r="DE33" s="8">
        <f>DC33+DD33</f>
        <v/>
      </c>
      <c r="DF33" s="61">
        <f>K33</f>
        <v/>
      </c>
      <c r="DG33" s="106" t="n">
        <v>0.0001</v>
      </c>
      <c r="DH33" s="10">
        <f>DF33*DG33</f>
        <v/>
      </c>
      <c r="DI33" s="10">
        <f>DE33-DH33</f>
        <v/>
      </c>
      <c r="DJ33" s="11">
        <f>DI33</f>
        <v/>
      </c>
      <c r="DK33" s="3" t="n">
        <v>29</v>
      </c>
      <c r="DL33" s="18">
        <f>DB33</f>
        <v/>
      </c>
      <c r="DM33" s="8">
        <f>DT32</f>
        <v/>
      </c>
      <c r="DN33" s="10" t="n">
        <v>0</v>
      </c>
      <c r="DO33" s="8">
        <f>DM33+DN33</f>
        <v/>
      </c>
      <c r="DP33" s="61">
        <f>L33</f>
        <v/>
      </c>
      <c r="DQ33" s="106" t="n">
        <v>0.0003</v>
      </c>
      <c r="DR33" s="12">
        <f>DQ33*DP33</f>
        <v/>
      </c>
      <c r="DS33" s="10">
        <f>DO33-DR33</f>
        <v/>
      </c>
      <c r="DT33" s="11">
        <f>DS33</f>
        <v/>
      </c>
      <c r="DU33" s="10">
        <f>DJ33+DT33</f>
        <v/>
      </c>
      <c r="DW33" s="3" t="n">
        <v>29</v>
      </c>
      <c r="DX33" s="18">
        <f>DL33</f>
        <v/>
      </c>
      <c r="DY33" s="8">
        <f>EF32</f>
        <v/>
      </c>
      <c r="DZ33" s="10" t="n">
        <v>0</v>
      </c>
      <c r="EA33" s="8">
        <f>DY33+DZ33</f>
        <v/>
      </c>
      <c r="EB33" s="61">
        <f>K33</f>
        <v/>
      </c>
      <c r="EC33" s="106" t="n">
        <v>0.0002</v>
      </c>
      <c r="ED33" s="10">
        <f>EB33*EC33</f>
        <v/>
      </c>
      <c r="EE33" s="10">
        <f>EA33-ED33</f>
        <v/>
      </c>
      <c r="EF33" s="11">
        <f>EE33</f>
        <v/>
      </c>
      <c r="EG33" s="3" t="n">
        <v>29</v>
      </c>
      <c r="EH33" s="18">
        <f>DX33</f>
        <v/>
      </c>
      <c r="EI33" s="8">
        <f>EP32</f>
        <v/>
      </c>
      <c r="EJ33" s="10" t="n">
        <v>0</v>
      </c>
      <c r="EK33" s="8">
        <f>EI33+EJ33</f>
        <v/>
      </c>
      <c r="EL33" s="61">
        <f>L33</f>
        <v/>
      </c>
      <c r="EM33" s="106" t="n">
        <v>0.0005999999999999999</v>
      </c>
      <c r="EN33" s="12">
        <f>EM33*EL33</f>
        <v/>
      </c>
      <c r="EO33" s="10">
        <f>EK33-EN33</f>
        <v/>
      </c>
      <c r="EP33" s="11">
        <f>EO33</f>
        <v/>
      </c>
      <c r="EQ33" s="10">
        <f>EF33+EP33</f>
        <v/>
      </c>
      <c r="ES33" s="3" t="n">
        <v>29</v>
      </c>
      <c r="ET33" s="18">
        <f>EH33</f>
        <v/>
      </c>
      <c r="EU33" s="8">
        <f>FB32</f>
        <v/>
      </c>
      <c r="EV33" s="10" t="n">
        <v>0</v>
      </c>
      <c r="EW33" s="8">
        <f>EU33+EV33</f>
        <v/>
      </c>
      <c r="EX33" s="61">
        <f>K33</f>
        <v/>
      </c>
      <c r="EY33" s="107" t="n">
        <v>0.002</v>
      </c>
      <c r="EZ33" s="10">
        <f>EX33*EY33</f>
        <v/>
      </c>
      <c r="FA33" s="10">
        <f>EW33-EZ33</f>
        <v/>
      </c>
      <c r="FB33" s="11">
        <f>FA33</f>
        <v/>
      </c>
      <c r="FC33" s="3" t="n">
        <v>29</v>
      </c>
      <c r="FD33" s="18">
        <f>ET33</f>
        <v/>
      </c>
      <c r="FE33" s="8">
        <f>FL32</f>
        <v/>
      </c>
      <c r="FF33" s="10" t="n">
        <v>0</v>
      </c>
      <c r="FG33" s="8">
        <f>FE33+FF33</f>
        <v/>
      </c>
      <c r="FH33" s="61">
        <f>L33</f>
        <v/>
      </c>
      <c r="FI33" s="107" t="n">
        <v>0.0025</v>
      </c>
      <c r="FJ33" s="12">
        <f>FI33*FH33</f>
        <v/>
      </c>
      <c r="FK33" s="10">
        <f>FG33-FJ33</f>
        <v/>
      </c>
      <c r="FL33" s="11">
        <f>FK33</f>
        <v/>
      </c>
      <c r="FM33" s="10">
        <f>FB33+FL33</f>
        <v/>
      </c>
      <c r="FO33" s="3" t="n">
        <v>29</v>
      </c>
      <c r="FP33" s="18">
        <f>FD33</f>
        <v/>
      </c>
      <c r="FQ33" s="8">
        <f>FX32</f>
        <v/>
      </c>
      <c r="FR33" s="10" t="n">
        <v>0</v>
      </c>
      <c r="FS33" s="8">
        <f>FQ33+FR33</f>
        <v/>
      </c>
      <c r="FT33" s="61">
        <f>K33</f>
        <v/>
      </c>
      <c r="FU33" s="8" t="n">
        <v>0.002</v>
      </c>
      <c r="FV33" s="10">
        <f>FT33*FU33</f>
        <v/>
      </c>
      <c r="FW33" s="10">
        <f>FS33-FV33</f>
        <v/>
      </c>
      <c r="FX33" s="11">
        <f>FW33</f>
        <v/>
      </c>
      <c r="FY33" s="3" t="n">
        <v>29</v>
      </c>
      <c r="FZ33" s="18">
        <f>FP33</f>
        <v/>
      </c>
      <c r="GA33" s="8">
        <f>GH32</f>
        <v/>
      </c>
      <c r="GB33" s="10" t="n">
        <v>0</v>
      </c>
      <c r="GC33" s="8">
        <f>GA33+GB33</f>
        <v/>
      </c>
      <c r="GD33" s="61">
        <f>L33</f>
        <v/>
      </c>
      <c r="GE33" s="8" t="n">
        <v>0.005</v>
      </c>
      <c r="GF33" s="12">
        <f>GE33*GD33</f>
        <v/>
      </c>
      <c r="GG33" s="10">
        <f>GC33-GF33</f>
        <v/>
      </c>
      <c r="GH33" s="11">
        <f>GG33</f>
        <v/>
      </c>
      <c r="GI33" s="10">
        <f>FX33+GH33</f>
        <v/>
      </c>
      <c r="GK33" s="3" t="n">
        <v>29</v>
      </c>
      <c r="GL33" s="18">
        <f>FZ33</f>
        <v/>
      </c>
      <c r="GM33" s="8">
        <f>GT32</f>
        <v/>
      </c>
      <c r="GN33" s="10" t="n">
        <v>0</v>
      </c>
      <c r="GO33" s="8">
        <f>GM33+GN33</f>
        <v/>
      </c>
      <c r="GP33" s="61">
        <f>K33</f>
        <v/>
      </c>
      <c r="GQ33" s="8" t="n">
        <v>0.005</v>
      </c>
      <c r="GR33" s="10">
        <f>GP33*GQ33</f>
        <v/>
      </c>
      <c r="GS33" s="10">
        <f>GO33-GR33</f>
        <v/>
      </c>
      <c r="GT33" s="11">
        <f>GS33</f>
        <v/>
      </c>
      <c r="GU33" s="3" t="n">
        <v>29</v>
      </c>
      <c r="GV33" s="18">
        <f>GL33</f>
        <v/>
      </c>
      <c r="GW33" s="8">
        <f>HD32</f>
        <v/>
      </c>
      <c r="GX33" s="10" t="n">
        <v>0</v>
      </c>
      <c r="GY33" s="8">
        <f>GW33+GX33</f>
        <v/>
      </c>
      <c r="GZ33" s="61">
        <f>L33</f>
        <v/>
      </c>
      <c r="HA33" s="8" t="n">
        <v>0.0075</v>
      </c>
      <c r="HB33" s="12">
        <f>HA33*GZ33</f>
        <v/>
      </c>
      <c r="HC33" s="10">
        <f>GY33-HB33</f>
        <v/>
      </c>
      <c r="HD33" s="11">
        <f>HC33</f>
        <v/>
      </c>
      <c r="HE33" s="10">
        <f>GT33+HD33</f>
        <v/>
      </c>
      <c r="HG33" s="3" t="n">
        <v>29</v>
      </c>
      <c r="HH33" s="18">
        <f>GV33</f>
        <v/>
      </c>
      <c r="HI33" s="61">
        <f>K33</f>
        <v/>
      </c>
      <c r="HJ33" s="22" t="n">
        <v>1</v>
      </c>
      <c r="HK33" s="23">
        <f>HI33*HJ33</f>
        <v/>
      </c>
      <c r="HL33" s="61" t="n">
        <v>0.89</v>
      </c>
      <c r="HM33" s="23">
        <f>HI33*HL33</f>
        <v/>
      </c>
      <c r="HN33" s="22" t="n">
        <v>0.7</v>
      </c>
      <c r="HO33" s="22">
        <f>HN33*HI33</f>
        <v/>
      </c>
      <c r="HP33" s="22" t="n">
        <v>2.59</v>
      </c>
      <c r="HQ33" s="9">
        <f>HI33*HP33</f>
        <v/>
      </c>
      <c r="HR33" s="3" t="n">
        <v>29</v>
      </c>
      <c r="HS33" s="50" t="inlineStr">
        <is>
          <t>29/7/2023</t>
        </is>
      </c>
      <c r="HT33" s="61">
        <f>L33</f>
        <v/>
      </c>
      <c r="HU33" s="22" t="n">
        <v>1.64</v>
      </c>
      <c r="HV33" s="23">
        <f>HT33*HU33</f>
        <v/>
      </c>
      <c r="HW33" s="61" t="n">
        <v>1.14</v>
      </c>
      <c r="HX33" s="23">
        <f>HT33*HW33</f>
        <v/>
      </c>
      <c r="HY33" s="22" t="n">
        <v>1.1</v>
      </c>
      <c r="HZ33" s="22">
        <f>HY33*HT33</f>
        <v/>
      </c>
      <c r="IA33" s="22" t="n">
        <v>3.11</v>
      </c>
      <c r="IB33" s="9">
        <f>HT33*IA33</f>
        <v/>
      </c>
      <c r="IC33" s="9">
        <f>HK33+HV33</f>
        <v/>
      </c>
      <c r="ID33" s="9">
        <f>HM33+HX33</f>
        <v/>
      </c>
      <c r="IE33" s="9">
        <f>HO33+HZ33</f>
        <v/>
      </c>
      <c r="IF33" s="52" t="n"/>
      <c r="IG33" s="109">
        <f>HH33</f>
        <v/>
      </c>
      <c r="IH33" s="132" t="inlineStr">
        <is>
          <t>xq:okj</t>
        </is>
      </c>
      <c r="II33" s="140" t="inlineStr">
        <is>
          <t>elqj nkG</t>
        </is>
      </c>
      <c r="IJ33" s="105">
        <f>IJ32</f>
        <v/>
      </c>
      <c r="IK33" s="105">
        <f>IJ33</f>
        <v/>
      </c>
      <c r="IL33" s="105">
        <f>K33</f>
        <v/>
      </c>
      <c r="IM33" s="105">
        <f>IL33*100</f>
        <v/>
      </c>
      <c r="IN33" s="105">
        <f>IL33*20</f>
        <v/>
      </c>
      <c r="IO33" s="105" t="n"/>
      <c r="IP33" s="105" t="n"/>
      <c r="IQ33" s="105">
        <f>IL33*0.3</f>
        <v/>
      </c>
      <c r="IR33" s="105">
        <f>IL33*0.4</f>
        <v/>
      </c>
      <c r="IS33" s="105">
        <f>IL33*1.5</f>
        <v/>
      </c>
      <c r="IT33" s="105">
        <f>IL33*5</f>
        <v/>
      </c>
      <c r="IU33" s="105">
        <f>IL33*2</f>
        <v/>
      </c>
      <c r="IV33" s="105">
        <f>IL33*2.08</f>
        <v/>
      </c>
      <c r="IW33" s="13" t="n"/>
      <c r="IX33" s="105">
        <f>IL33*2.08</f>
        <v/>
      </c>
      <c r="IY33" s="13" t="n"/>
      <c r="IZ33" s="109">
        <f>IG33</f>
        <v/>
      </c>
      <c r="JA33" s="132" t="inlineStr">
        <is>
          <t>xq:okj</t>
        </is>
      </c>
      <c r="JB33" s="140" t="inlineStr">
        <is>
          <t>elqj nkG</t>
        </is>
      </c>
      <c r="JC33" s="105">
        <f>JC32</f>
        <v/>
      </c>
      <c r="JD33" s="105">
        <f>JC33</f>
        <v/>
      </c>
      <c r="JE33" s="105">
        <f>L33</f>
        <v/>
      </c>
      <c r="JF33" s="105">
        <f>JE33*150</f>
        <v/>
      </c>
      <c r="JG33" s="105" t="n"/>
      <c r="JH33" s="105">
        <f>JE33*30</f>
        <v/>
      </c>
      <c r="JI33" s="105" t="n"/>
      <c r="JJ33" s="105">
        <f>JE33*0.25</f>
        <v/>
      </c>
      <c r="JK33" s="105">
        <f>JE33*0.4</f>
        <v/>
      </c>
      <c r="JL33" s="105">
        <f>JE33*2.5</f>
        <v/>
      </c>
      <c r="JM33" s="105">
        <f>JE33*7.5</f>
        <v/>
      </c>
      <c r="JN33" s="105">
        <f>JE33*4</f>
        <v/>
      </c>
      <c r="JO33" s="105">
        <f>JE33*3.11</f>
        <v/>
      </c>
      <c r="JP33" s="13" t="n"/>
      <c r="JQ33" s="105">
        <f>JE33*3.11</f>
        <v/>
      </c>
      <c r="JR33" s="13" t="n"/>
      <c r="JS33" s="52" t="n"/>
      <c r="JT33" s="52" t="n"/>
      <c r="JU33" s="52" t="n"/>
      <c r="JV33" s="52" t="n"/>
      <c r="JW33" s="52" t="n"/>
      <c r="JX33" s="52" t="n"/>
      <c r="JY33" s="52" t="n"/>
      <c r="JZ33" s="52" t="n"/>
      <c r="KA33" s="52" t="n"/>
      <c r="KB33" s="52" t="n"/>
      <c r="KC33" s="52" t="n"/>
      <c r="KD33" s="52" t="n"/>
      <c r="KE33" s="52" t="n"/>
      <c r="KF33" s="52" t="n"/>
      <c r="KG33" s="52" t="n"/>
      <c r="KH33" s="52" t="n"/>
      <c r="KI33" s="52" t="n"/>
    </row>
    <row r="34" ht="35.1" customFormat="1" customHeight="1" s="14">
      <c r="A34" s="132" t="inlineStr">
        <is>
          <t>xq:okj</t>
        </is>
      </c>
      <c r="B34" s="114" t="inlineStr">
        <is>
          <t>30/04/2026</t>
        </is>
      </c>
      <c r="C34" s="108" t="n">
        <v>0</v>
      </c>
      <c r="D34" s="108">
        <f>C34</f>
        <v/>
      </c>
      <c r="E34" s="108" t="n">
        <v>0</v>
      </c>
      <c r="F34" s="108" t="n">
        <v>0</v>
      </c>
      <c r="G34" s="108" t="n">
        <v>0</v>
      </c>
      <c r="H34" s="108">
        <f>G34+F34+E34</f>
        <v/>
      </c>
      <c r="I34" s="132" t="inlineStr">
        <is>
          <t>xq:okj</t>
        </is>
      </c>
      <c r="J34" s="114" t="inlineStr">
        <is>
          <t>30/04/2026</t>
        </is>
      </c>
      <c r="K34" s="61">
        <f>D34</f>
        <v/>
      </c>
      <c r="L34" s="61">
        <f>H34</f>
        <v/>
      </c>
      <c r="M34" s="61">
        <f>SUM(K34:L34)</f>
        <v/>
      </c>
      <c r="N34" s="140" t="inlineStr">
        <is>
          <t>elqj nkG</t>
        </is>
      </c>
      <c r="O34" s="89" t="n"/>
      <c r="Q34" s="3" t="n">
        <v>30</v>
      </c>
      <c r="R34" s="114" t="inlineStr">
        <is>
          <t>30/04/2026</t>
        </is>
      </c>
      <c r="S34" s="11">
        <f>Z33</f>
        <v/>
      </c>
      <c r="T34" s="10" t="n">
        <v>0</v>
      </c>
      <c r="U34" s="8">
        <f>S34+T34</f>
        <v/>
      </c>
      <c r="V34" s="61">
        <f>K34</f>
        <v/>
      </c>
      <c r="W34" s="8" t="n">
        <v>0.1</v>
      </c>
      <c r="X34" s="10">
        <f>V34*W34</f>
        <v/>
      </c>
      <c r="Y34" s="10">
        <f>U34-X34</f>
        <v/>
      </c>
      <c r="Z34" s="11">
        <f>Y34</f>
        <v/>
      </c>
      <c r="AA34" s="3" t="n">
        <v>30</v>
      </c>
      <c r="AB34" s="18">
        <f>R34</f>
        <v/>
      </c>
      <c r="AC34" s="8">
        <f>AJ33</f>
        <v/>
      </c>
      <c r="AD34" s="10" t="n">
        <v>0</v>
      </c>
      <c r="AE34" s="8">
        <f>AC34+AD34</f>
        <v/>
      </c>
      <c r="AF34" s="61">
        <f>L34</f>
        <v/>
      </c>
      <c r="AG34" s="8" t="n">
        <v>0.15</v>
      </c>
      <c r="AH34" s="12">
        <f>AG34*AF34</f>
        <v/>
      </c>
      <c r="AI34" s="10">
        <f>AE34-AH34</f>
        <v/>
      </c>
      <c r="AJ34" s="11">
        <f>AI34</f>
        <v/>
      </c>
      <c r="AK34" s="10">
        <f>Z34+AJ34</f>
        <v/>
      </c>
      <c r="AM34" s="3" t="n">
        <v>30</v>
      </c>
      <c r="AN34" s="18">
        <f>AB34</f>
        <v/>
      </c>
      <c r="AO34" s="8">
        <f>AV33</f>
        <v/>
      </c>
      <c r="AP34" s="10" t="n">
        <v>0</v>
      </c>
      <c r="AQ34" s="8">
        <f>AO34+AP34</f>
        <v/>
      </c>
      <c r="AR34" s="61" t="n">
        <v>0</v>
      </c>
      <c r="AS34" s="8" t="n">
        <v>0.02</v>
      </c>
      <c r="AT34" s="10">
        <f>AR34*AS34</f>
        <v/>
      </c>
      <c r="AU34" s="10">
        <f>AQ34-AT34</f>
        <v/>
      </c>
      <c r="AV34" s="11">
        <f>AU34</f>
        <v/>
      </c>
      <c r="AW34" s="3" t="n">
        <v>30</v>
      </c>
      <c r="AX34" s="18">
        <f>AN34</f>
        <v/>
      </c>
      <c r="AY34" s="8">
        <f>BF33</f>
        <v/>
      </c>
      <c r="AZ34" s="10" t="n">
        <v>0</v>
      </c>
      <c r="BA34" s="8">
        <f>AY34+AZ34</f>
        <v/>
      </c>
      <c r="BB34" s="61" t="n">
        <v>0</v>
      </c>
      <c r="BC34" s="8" t="n">
        <v>0.03</v>
      </c>
      <c r="BD34" s="12">
        <f>BC34*BB34</f>
        <v/>
      </c>
      <c r="BE34" s="10">
        <f>BA34-BD34</f>
        <v/>
      </c>
      <c r="BF34" s="11">
        <f>BE34</f>
        <v/>
      </c>
      <c r="BG34" s="10">
        <f>AV34+BF34</f>
        <v/>
      </c>
      <c r="BI34" s="3" t="n">
        <v>30</v>
      </c>
      <c r="BJ34" s="18">
        <f>AX34</f>
        <v/>
      </c>
      <c r="BK34" s="8">
        <f>BR33</f>
        <v/>
      </c>
      <c r="BL34" s="10" t="n">
        <v>0</v>
      </c>
      <c r="BM34" s="8">
        <f>BK34+BL34</f>
        <v/>
      </c>
      <c r="BN34" s="61">
        <f>K34</f>
        <v/>
      </c>
      <c r="BO34" s="8" t="n">
        <v>0.02</v>
      </c>
      <c r="BP34" s="10">
        <f>BN34*BO34</f>
        <v/>
      </c>
      <c r="BQ34" s="10">
        <f>BM34-BP34</f>
        <v/>
      </c>
      <c r="BR34" s="11">
        <f>BQ34</f>
        <v/>
      </c>
      <c r="BS34" s="3" t="n">
        <v>30</v>
      </c>
      <c r="BT34" s="18">
        <f>BJ34</f>
        <v/>
      </c>
      <c r="BU34" s="8">
        <f>CB33</f>
        <v/>
      </c>
      <c r="BV34" s="10" t="n">
        <v>0</v>
      </c>
      <c r="BW34" s="8">
        <f>BU34+BV34</f>
        <v/>
      </c>
      <c r="BX34" s="61">
        <f>L34</f>
        <v/>
      </c>
      <c r="BY34" s="8" t="n">
        <v>0.03</v>
      </c>
      <c r="BZ34" s="12">
        <f>BY34*BX34</f>
        <v/>
      </c>
      <c r="CA34" s="10">
        <f>BW34-BZ34</f>
        <v/>
      </c>
      <c r="CB34" s="11">
        <f>CA34</f>
        <v/>
      </c>
      <c r="CC34" s="10">
        <f>BR34+CB34</f>
        <v/>
      </c>
      <c r="CE34" s="3" t="n">
        <v>30</v>
      </c>
      <c r="CF34" s="18">
        <f>BT34</f>
        <v/>
      </c>
      <c r="CG34" s="8">
        <f>CN33</f>
        <v/>
      </c>
      <c r="CH34" s="10" t="n">
        <v>0</v>
      </c>
      <c r="CI34" s="8">
        <f>CG34+CH34</f>
        <v/>
      </c>
      <c r="CJ34" s="61" t="n">
        <v>0</v>
      </c>
      <c r="CK34" s="8" t="n">
        <v>0.02</v>
      </c>
      <c r="CL34" s="10">
        <f>CJ34*CK34</f>
        <v/>
      </c>
      <c r="CM34" s="10">
        <f>CI34-CL34</f>
        <v/>
      </c>
      <c r="CN34" s="11">
        <f>CM34</f>
        <v/>
      </c>
      <c r="CO34" s="3" t="n">
        <v>30</v>
      </c>
      <c r="CP34" s="18">
        <f>CF34</f>
        <v/>
      </c>
      <c r="CQ34" s="8">
        <f>CX33</f>
        <v/>
      </c>
      <c r="CR34" s="10" t="n">
        <v>0</v>
      </c>
      <c r="CS34" s="8">
        <f>CQ34+CR34</f>
        <v/>
      </c>
      <c r="CT34" s="61" t="n">
        <v>0</v>
      </c>
      <c r="CU34" s="8" t="n">
        <v>0.03</v>
      </c>
      <c r="CV34" s="12">
        <f>CU34*CT34</f>
        <v/>
      </c>
      <c r="CW34" s="10">
        <f>CS34-CV34</f>
        <v/>
      </c>
      <c r="CX34" s="11">
        <f>CW34</f>
        <v/>
      </c>
      <c r="CY34" s="10">
        <f>CN34+CX34</f>
        <v/>
      </c>
      <c r="DA34" s="3" t="n">
        <v>30</v>
      </c>
      <c r="DB34" s="18">
        <f>CP34</f>
        <v/>
      </c>
      <c r="DC34" s="8">
        <f>DJ33</f>
        <v/>
      </c>
      <c r="DD34" s="10" t="n">
        <v>0</v>
      </c>
      <c r="DE34" s="8">
        <f>DC34+DD34</f>
        <v/>
      </c>
      <c r="DF34" s="61">
        <f>K34</f>
        <v/>
      </c>
      <c r="DG34" s="106" t="n">
        <v>0.0001</v>
      </c>
      <c r="DH34" s="10">
        <f>DF34*DG34</f>
        <v/>
      </c>
      <c r="DI34" s="10">
        <f>DE34-DH34</f>
        <v/>
      </c>
      <c r="DJ34" s="11">
        <f>DI34</f>
        <v/>
      </c>
      <c r="DK34" s="3" t="n">
        <v>30</v>
      </c>
      <c r="DL34" s="18">
        <f>DB34</f>
        <v/>
      </c>
      <c r="DM34" s="8">
        <f>DT33</f>
        <v/>
      </c>
      <c r="DN34" s="10" t="n">
        <v>0</v>
      </c>
      <c r="DO34" s="8">
        <f>DM34+DN34</f>
        <v/>
      </c>
      <c r="DP34" s="61">
        <f>L34</f>
        <v/>
      </c>
      <c r="DQ34" s="106" t="n">
        <v>0.0003</v>
      </c>
      <c r="DR34" s="12">
        <f>DQ34*DP34</f>
        <v/>
      </c>
      <c r="DS34" s="10">
        <f>DO34-DR34</f>
        <v/>
      </c>
      <c r="DT34" s="11">
        <f>DS34</f>
        <v/>
      </c>
      <c r="DU34" s="10">
        <f>DJ34+DT34</f>
        <v/>
      </c>
      <c r="DW34" s="3" t="n">
        <v>30</v>
      </c>
      <c r="DX34" s="18">
        <f>DL34</f>
        <v/>
      </c>
      <c r="DY34" s="8">
        <f>EF33</f>
        <v/>
      </c>
      <c r="DZ34" s="10" t="n">
        <v>0</v>
      </c>
      <c r="EA34" s="8">
        <f>DY34+DZ34</f>
        <v/>
      </c>
      <c r="EB34" s="61">
        <f>K34</f>
        <v/>
      </c>
      <c r="EC34" s="106" t="n">
        <v>0.0002</v>
      </c>
      <c r="ED34" s="10">
        <f>EB34*EC34</f>
        <v/>
      </c>
      <c r="EE34" s="10">
        <f>EA34-ED34</f>
        <v/>
      </c>
      <c r="EF34" s="11">
        <f>EE34</f>
        <v/>
      </c>
      <c r="EG34" s="3" t="n">
        <v>30</v>
      </c>
      <c r="EH34" s="18">
        <f>DX34</f>
        <v/>
      </c>
      <c r="EI34" s="8">
        <f>EP33</f>
        <v/>
      </c>
      <c r="EJ34" s="10" t="n">
        <v>0</v>
      </c>
      <c r="EK34" s="8">
        <f>EI34+EJ34</f>
        <v/>
      </c>
      <c r="EL34" s="61">
        <f>L34</f>
        <v/>
      </c>
      <c r="EM34" s="106" t="n">
        <v>0.0005999999999999999</v>
      </c>
      <c r="EN34" s="12">
        <f>EM34*EL34</f>
        <v/>
      </c>
      <c r="EO34" s="10">
        <f>EK34-EN34</f>
        <v/>
      </c>
      <c r="EP34" s="11">
        <f>EO34</f>
        <v/>
      </c>
      <c r="EQ34" s="10">
        <f>EF34+EP34</f>
        <v/>
      </c>
      <c r="ES34" s="3" t="n">
        <v>30</v>
      </c>
      <c r="ET34" s="18">
        <f>EH34</f>
        <v/>
      </c>
      <c r="EU34" s="8">
        <f>FB33</f>
        <v/>
      </c>
      <c r="EV34" s="10" t="n">
        <v>0</v>
      </c>
      <c r="EW34" s="8">
        <f>EU34+EV34</f>
        <v/>
      </c>
      <c r="EX34" s="61">
        <f>K34</f>
        <v/>
      </c>
      <c r="EY34" s="107" t="n">
        <v>0.002</v>
      </c>
      <c r="EZ34" s="10">
        <f>EX34*EY34</f>
        <v/>
      </c>
      <c r="FA34" s="10">
        <f>EW34-EZ34</f>
        <v/>
      </c>
      <c r="FB34" s="11">
        <f>FA34</f>
        <v/>
      </c>
      <c r="FC34" s="3" t="n">
        <v>30</v>
      </c>
      <c r="FD34" s="18">
        <f>ET34</f>
        <v/>
      </c>
      <c r="FE34" s="8">
        <f>FL33</f>
        <v/>
      </c>
      <c r="FF34" s="10" t="n">
        <v>0</v>
      </c>
      <c r="FG34" s="8">
        <f>FE34+FF34</f>
        <v/>
      </c>
      <c r="FH34" s="61">
        <f>L34</f>
        <v/>
      </c>
      <c r="FI34" s="107" t="n">
        <v>0.0025</v>
      </c>
      <c r="FJ34" s="12">
        <f>FI34*FH34</f>
        <v/>
      </c>
      <c r="FK34" s="10">
        <f>FG34-FJ34</f>
        <v/>
      </c>
      <c r="FL34" s="11">
        <f>FK34</f>
        <v/>
      </c>
      <c r="FM34" s="10">
        <f>FB34+FL34</f>
        <v/>
      </c>
      <c r="FO34" s="3" t="n">
        <v>30</v>
      </c>
      <c r="FP34" s="18">
        <f>FD34</f>
        <v/>
      </c>
      <c r="FQ34" s="8">
        <f>FX33</f>
        <v/>
      </c>
      <c r="FR34" s="10" t="n">
        <v>0</v>
      </c>
      <c r="FS34" s="8">
        <f>FQ34+FR34</f>
        <v/>
      </c>
      <c r="FT34" s="61">
        <f>K34</f>
        <v/>
      </c>
      <c r="FU34" s="8" t="n">
        <v>0.002</v>
      </c>
      <c r="FV34" s="10">
        <f>FT34*FU34</f>
        <v/>
      </c>
      <c r="FW34" s="10">
        <f>FS34-FV34</f>
        <v/>
      </c>
      <c r="FX34" s="11">
        <f>FW34</f>
        <v/>
      </c>
      <c r="FY34" s="3" t="n">
        <v>30</v>
      </c>
      <c r="FZ34" s="18">
        <f>FP34</f>
        <v/>
      </c>
      <c r="GA34" s="8">
        <f>GH33</f>
        <v/>
      </c>
      <c r="GB34" s="10" t="n">
        <v>0</v>
      </c>
      <c r="GC34" s="8">
        <f>GA34+GB34</f>
        <v/>
      </c>
      <c r="GD34" s="61">
        <f>L34</f>
        <v/>
      </c>
      <c r="GE34" s="8" t="n">
        <v>0.005</v>
      </c>
      <c r="GF34" s="12">
        <f>GE34*GD34</f>
        <v/>
      </c>
      <c r="GG34" s="10">
        <f>GC34-GF34</f>
        <v/>
      </c>
      <c r="GH34" s="11">
        <f>GG34</f>
        <v/>
      </c>
      <c r="GI34" s="10">
        <f>FX34+GH34</f>
        <v/>
      </c>
      <c r="GK34" s="3" t="n">
        <v>30</v>
      </c>
      <c r="GL34" s="18">
        <f>FZ34</f>
        <v/>
      </c>
      <c r="GM34" s="8">
        <f>GT33</f>
        <v/>
      </c>
      <c r="GN34" s="10" t="n">
        <v>0</v>
      </c>
      <c r="GO34" s="8">
        <f>GM34+GN34</f>
        <v/>
      </c>
      <c r="GP34" s="61">
        <f>K34</f>
        <v/>
      </c>
      <c r="GQ34" s="8" t="n">
        <v>0.005</v>
      </c>
      <c r="GR34" s="10">
        <f>GP34*GQ34</f>
        <v/>
      </c>
      <c r="GS34" s="10">
        <f>GO34-GR34</f>
        <v/>
      </c>
      <c r="GT34" s="11">
        <f>GS34</f>
        <v/>
      </c>
      <c r="GU34" s="3" t="n">
        <v>30</v>
      </c>
      <c r="GV34" s="18">
        <f>GL34</f>
        <v/>
      </c>
      <c r="GW34" s="8">
        <f>HD33</f>
        <v/>
      </c>
      <c r="GX34" s="10" t="n">
        <v>0</v>
      </c>
      <c r="GY34" s="8">
        <f>GW34+GX34</f>
        <v/>
      </c>
      <c r="GZ34" s="61">
        <f>L34</f>
        <v/>
      </c>
      <c r="HA34" s="8" t="n">
        <v>0.0075</v>
      </c>
      <c r="HB34" s="12">
        <f>HA34*GZ34</f>
        <v/>
      </c>
      <c r="HC34" s="10">
        <f>GY34-HB34</f>
        <v/>
      </c>
      <c r="HD34" s="11">
        <f>HC34</f>
        <v/>
      </c>
      <c r="HE34" s="10">
        <f>GT34+HD34</f>
        <v/>
      </c>
      <c r="HG34" s="3" t="n">
        <v>30</v>
      </c>
      <c r="HH34" s="18">
        <f>GV34</f>
        <v/>
      </c>
      <c r="HI34" s="61">
        <f>K34</f>
        <v/>
      </c>
      <c r="HJ34" s="22" t="n">
        <v>1</v>
      </c>
      <c r="HK34" s="23">
        <f>HI34*HJ34</f>
        <v/>
      </c>
      <c r="HL34" s="61" t="n">
        <v>0.89</v>
      </c>
      <c r="HM34" s="23">
        <f>HI34*HL34</f>
        <v/>
      </c>
      <c r="HN34" s="22" t="n">
        <v>0.7</v>
      </c>
      <c r="HO34" s="22">
        <f>HN34*HI34</f>
        <v/>
      </c>
      <c r="HP34" s="22" t="n">
        <v>2.59</v>
      </c>
      <c r="HQ34" s="9">
        <f>HI34*HP34</f>
        <v/>
      </c>
      <c r="HR34" s="3" t="n">
        <v>30</v>
      </c>
      <c r="HS34" s="50" t="inlineStr">
        <is>
          <t>30/7/2023</t>
        </is>
      </c>
      <c r="HT34" s="61">
        <f>L34</f>
        <v/>
      </c>
      <c r="HU34" s="22" t="n">
        <v>1.64</v>
      </c>
      <c r="HV34" s="23">
        <f>HT34*HU34</f>
        <v/>
      </c>
      <c r="HW34" s="61" t="n">
        <v>1.14</v>
      </c>
      <c r="HX34" s="23">
        <f>HT34*HW34</f>
        <v/>
      </c>
      <c r="HY34" s="22" t="n">
        <v>1.1</v>
      </c>
      <c r="HZ34" s="22">
        <f>HY34*HT34</f>
        <v/>
      </c>
      <c r="IA34" s="22" t="n">
        <v>3.11</v>
      </c>
      <c r="IB34" s="9">
        <f>HT34*IA34</f>
        <v/>
      </c>
      <c r="IC34" s="9">
        <f>HK34+HV34</f>
        <v/>
      </c>
      <c r="ID34" s="9">
        <f>HM34+HX34</f>
        <v/>
      </c>
      <c r="IE34" s="9">
        <f>HO34+HZ34</f>
        <v/>
      </c>
      <c r="IF34" s="52" t="n"/>
      <c r="IG34" s="109" t="n"/>
      <c r="IH34" s="132" t="n"/>
      <c r="II34" s="140" t="n"/>
      <c r="IJ34" s="105">
        <f>IJ33</f>
        <v/>
      </c>
      <c r="IK34" s="105">
        <f>IJ34</f>
        <v/>
      </c>
      <c r="IL34" s="105">
        <f>K34</f>
        <v/>
      </c>
      <c r="IM34" s="105">
        <f>IL34*100</f>
        <v/>
      </c>
      <c r="IN34" s="105" t="n"/>
      <c r="IO34" s="105">
        <f>IL34*20</f>
        <v/>
      </c>
      <c r="IP34" s="105" t="n"/>
      <c r="IQ34" s="105">
        <f>IL34*0.3</f>
        <v/>
      </c>
      <c r="IR34" s="105">
        <f>IL34*0.4</f>
        <v/>
      </c>
      <c r="IS34" s="105">
        <f>IL34*1.5</f>
        <v/>
      </c>
      <c r="IT34" s="105">
        <f>IL34*5</f>
        <v/>
      </c>
      <c r="IU34" s="105">
        <f>IL34*2</f>
        <v/>
      </c>
      <c r="IV34" s="105">
        <f>IL34*2.08</f>
        <v/>
      </c>
      <c r="IW34" s="13" t="n"/>
      <c r="IX34" s="105">
        <f>IL34*2.08</f>
        <v/>
      </c>
      <c r="IY34" s="13" t="n"/>
      <c r="IZ34" s="109">
        <f>IG34</f>
        <v/>
      </c>
      <c r="JA34" s="132" t="inlineStr">
        <is>
          <t>eaxGokj</t>
        </is>
      </c>
      <c r="JB34" s="140" t="inlineStr">
        <is>
          <t>okVk.kk</t>
        </is>
      </c>
      <c r="JC34" s="105">
        <f>JC33</f>
        <v/>
      </c>
      <c r="JD34" s="105">
        <f>JC34</f>
        <v/>
      </c>
      <c r="JE34" s="105">
        <f>L34</f>
        <v/>
      </c>
      <c r="JF34" s="105">
        <f>JE34*150</f>
        <v/>
      </c>
      <c r="JG34" s="105" t="n"/>
      <c r="JH34" s="105" t="n"/>
      <c r="JI34" s="105">
        <f>JE34*30</f>
        <v/>
      </c>
      <c r="JJ34" s="105">
        <f>JE34*0.25</f>
        <v/>
      </c>
      <c r="JK34" s="105">
        <f>JE34*0.4</f>
        <v/>
      </c>
      <c r="JL34" s="105">
        <f>JE34*2.5</f>
        <v/>
      </c>
      <c r="JM34" s="105">
        <f>JE34*7.5</f>
        <v/>
      </c>
      <c r="JN34" s="105">
        <f>JE34*4</f>
        <v/>
      </c>
      <c r="JO34" s="105">
        <f>JE34*3.11</f>
        <v/>
      </c>
      <c r="JP34" s="13" t="n"/>
      <c r="JQ34" s="105">
        <f>JE34*3.11</f>
        <v/>
      </c>
      <c r="JR34" s="13" t="n"/>
      <c r="JS34" s="52" t="n"/>
      <c r="JT34" s="52" t="n"/>
      <c r="JU34" s="52" t="n"/>
      <c r="JV34" s="52" t="n"/>
      <c r="JW34" s="52" t="n"/>
      <c r="JX34" s="52" t="n"/>
      <c r="JY34" s="52" t="n"/>
      <c r="JZ34" s="52" t="n"/>
      <c r="KA34" s="52" t="n"/>
      <c r="KB34" s="52" t="n"/>
      <c r="KC34" s="52" t="n"/>
      <c r="KD34" s="52" t="n"/>
      <c r="KE34" s="52" t="n"/>
      <c r="KF34" s="52" t="n"/>
      <c r="KG34" s="52" t="n"/>
      <c r="KH34" s="52" t="n"/>
      <c r="KI34" s="52" t="n"/>
    </row>
    <row r="35" ht="35.1" customFormat="1" customHeight="1" s="14">
      <c r="A35" s="132" t="n"/>
      <c r="B35" s="114" t="n"/>
      <c r="C35" s="108" t="n">
        <v>0</v>
      </c>
      <c r="D35" s="108">
        <f>C35</f>
        <v/>
      </c>
      <c r="E35" s="108" t="n">
        <v>0</v>
      </c>
      <c r="F35" s="108" t="n">
        <v>0</v>
      </c>
      <c r="G35" s="108" t="n">
        <v>0</v>
      </c>
      <c r="H35" s="108">
        <f>G35+F35+E35</f>
        <v/>
      </c>
      <c r="I35" s="132" t="n"/>
      <c r="J35" s="114" t="n"/>
      <c r="K35" s="61">
        <f>D35</f>
        <v/>
      </c>
      <c r="L35" s="61">
        <f>H35</f>
        <v/>
      </c>
      <c r="M35" s="61">
        <f>SUM(K35:L35)</f>
        <v/>
      </c>
      <c r="N35" s="140" t="n"/>
      <c r="O35" s="89" t="n"/>
      <c r="Q35" s="3" t="n">
        <v>31</v>
      </c>
      <c r="R35" s="114" t="n"/>
      <c r="S35" s="11">
        <f>Z34</f>
        <v/>
      </c>
      <c r="T35" s="10" t="n">
        <v>0</v>
      </c>
      <c r="U35" s="8">
        <f>S35+T35</f>
        <v/>
      </c>
      <c r="V35" s="61">
        <f>K35</f>
        <v/>
      </c>
      <c r="W35" s="8" t="n">
        <v>0.1</v>
      </c>
      <c r="X35" s="10">
        <f>V35*W35</f>
        <v/>
      </c>
      <c r="Y35" s="10">
        <f>U35-X35</f>
        <v/>
      </c>
      <c r="Z35" s="11">
        <f>Y35</f>
        <v/>
      </c>
      <c r="AA35" s="3" t="n">
        <v>31</v>
      </c>
      <c r="AB35" s="18">
        <f>R35</f>
        <v/>
      </c>
      <c r="AC35" s="8">
        <f>AJ34</f>
        <v/>
      </c>
      <c r="AD35" s="10" t="n">
        <v>0</v>
      </c>
      <c r="AE35" s="8">
        <f>AC35+AD35</f>
        <v/>
      </c>
      <c r="AF35" s="61">
        <f>L35</f>
        <v/>
      </c>
      <c r="AG35" s="8" t="n">
        <v>0.15</v>
      </c>
      <c r="AH35" s="12">
        <f>AG35*AF35</f>
        <v/>
      </c>
      <c r="AI35" s="10">
        <f>AE35-AH35</f>
        <v/>
      </c>
      <c r="AJ35" s="11">
        <f>AI35</f>
        <v/>
      </c>
      <c r="AK35" s="10">
        <f>Z35+AJ35</f>
        <v/>
      </c>
      <c r="AM35" s="3" t="n">
        <v>31</v>
      </c>
      <c r="AN35" s="18">
        <f>AB35</f>
        <v/>
      </c>
      <c r="AO35" s="8">
        <f>AV34</f>
        <v/>
      </c>
      <c r="AP35" s="10" t="n">
        <v>0</v>
      </c>
      <c r="AQ35" s="8">
        <f>AO35+AP35</f>
        <v/>
      </c>
      <c r="AR35" s="61" t="n">
        <v>0</v>
      </c>
      <c r="AS35" s="8" t="n">
        <v>0.02</v>
      </c>
      <c r="AT35" s="10">
        <f>AR35*AS35</f>
        <v/>
      </c>
      <c r="AU35" s="10">
        <f>AQ35-AT35</f>
        <v/>
      </c>
      <c r="AV35" s="11">
        <f>AU35</f>
        <v/>
      </c>
      <c r="AW35" s="3" t="n">
        <v>31</v>
      </c>
      <c r="AX35" s="18">
        <f>AN35</f>
        <v/>
      </c>
      <c r="AY35" s="8">
        <f>BF34</f>
        <v/>
      </c>
      <c r="AZ35" s="10" t="n">
        <v>0</v>
      </c>
      <c r="BA35" s="8">
        <f>AY35+AZ35</f>
        <v/>
      </c>
      <c r="BB35" s="61" t="n">
        <v>0</v>
      </c>
      <c r="BC35" s="8" t="n">
        <v>0.03</v>
      </c>
      <c r="BD35" s="12">
        <f>BC35*BB35</f>
        <v/>
      </c>
      <c r="BE35" s="10">
        <f>BA35-BD35</f>
        <v/>
      </c>
      <c r="BF35" s="11">
        <f>BE35</f>
        <v/>
      </c>
      <c r="BG35" s="10">
        <f>AV35+BF35</f>
        <v/>
      </c>
      <c r="BI35" s="3" t="n">
        <v>31</v>
      </c>
      <c r="BJ35" s="18">
        <f>AX35</f>
        <v/>
      </c>
      <c r="BK35" s="8">
        <f>BR34</f>
        <v/>
      </c>
      <c r="BL35" s="10" t="n">
        <v>0</v>
      </c>
      <c r="BM35" s="8">
        <f>BK35+BL35</f>
        <v/>
      </c>
      <c r="BN35" s="61" t="n">
        <v>0</v>
      </c>
      <c r="BO35" s="8" t="n">
        <v>0.02</v>
      </c>
      <c r="BP35" s="10">
        <f>BN35*BO35</f>
        <v/>
      </c>
      <c r="BQ35" s="10">
        <f>BM35-BP35</f>
        <v/>
      </c>
      <c r="BR35" s="11">
        <f>BQ35</f>
        <v/>
      </c>
      <c r="BS35" s="3" t="n">
        <v>31</v>
      </c>
      <c r="BT35" s="18">
        <f>BJ35</f>
        <v/>
      </c>
      <c r="BU35" s="8">
        <f>CB34</f>
        <v/>
      </c>
      <c r="BV35" s="10" t="n">
        <v>0</v>
      </c>
      <c r="BW35" s="8">
        <f>BU35+BV35</f>
        <v/>
      </c>
      <c r="BX35" s="61" t="n">
        <v>0</v>
      </c>
      <c r="BY35" s="8" t="n">
        <v>0.03</v>
      </c>
      <c r="BZ35" s="12">
        <f>BY35*BX35</f>
        <v/>
      </c>
      <c r="CA35" s="10">
        <f>BW35-BZ35</f>
        <v/>
      </c>
      <c r="CB35" s="11">
        <f>CA35</f>
        <v/>
      </c>
      <c r="CC35" s="10">
        <f>BR35+CB35</f>
        <v/>
      </c>
      <c r="CE35" s="3" t="n">
        <v>31</v>
      </c>
      <c r="CF35" s="18">
        <f>BT35</f>
        <v/>
      </c>
      <c r="CG35" s="8">
        <f>CN34</f>
        <v/>
      </c>
      <c r="CH35" s="10" t="n">
        <v>0</v>
      </c>
      <c r="CI35" s="8">
        <f>CG35+CH35</f>
        <v/>
      </c>
      <c r="CJ35" s="61" t="n">
        <v>0</v>
      </c>
      <c r="CK35" s="8" t="n">
        <v>0.02</v>
      </c>
      <c r="CL35" s="10">
        <f>CJ35*CK35</f>
        <v/>
      </c>
      <c r="CM35" s="10">
        <f>CI35-CL35</f>
        <v/>
      </c>
      <c r="CN35" s="11">
        <f>CM35</f>
        <v/>
      </c>
      <c r="CO35" s="3" t="n">
        <v>31</v>
      </c>
      <c r="CP35" s="18">
        <f>CF35</f>
        <v/>
      </c>
      <c r="CQ35" s="8">
        <f>CX34</f>
        <v/>
      </c>
      <c r="CR35" s="10" t="n">
        <v>0</v>
      </c>
      <c r="CS35" s="8">
        <f>CQ35+CR35</f>
        <v/>
      </c>
      <c r="CT35" s="61" t="n">
        <v>0</v>
      </c>
      <c r="CU35" s="8" t="n">
        <v>0.03</v>
      </c>
      <c r="CV35" s="12">
        <f>CU35*CT35</f>
        <v/>
      </c>
      <c r="CW35" s="10">
        <f>CS35-CV35</f>
        <v/>
      </c>
      <c r="CX35" s="11">
        <f>CW35</f>
        <v/>
      </c>
      <c r="CY35" s="10">
        <f>CN35+CX35</f>
        <v/>
      </c>
      <c r="DA35" s="3" t="n">
        <v>31</v>
      </c>
      <c r="DB35" s="18">
        <f>CP35</f>
        <v/>
      </c>
      <c r="DC35" s="8">
        <f>DJ34</f>
        <v/>
      </c>
      <c r="DD35" s="10" t="n">
        <v>0</v>
      </c>
      <c r="DE35" s="8">
        <f>DC35+DD35</f>
        <v/>
      </c>
      <c r="DF35" s="61">
        <f>K35</f>
        <v/>
      </c>
      <c r="DG35" s="106" t="n">
        <v>0.0001</v>
      </c>
      <c r="DH35" s="10">
        <f>DF35*DG35</f>
        <v/>
      </c>
      <c r="DI35" s="10">
        <f>DE35-DH35</f>
        <v/>
      </c>
      <c r="DJ35" s="11">
        <f>DI35</f>
        <v/>
      </c>
      <c r="DK35" s="3" t="n">
        <v>31</v>
      </c>
      <c r="DL35" s="18">
        <f>DB35</f>
        <v/>
      </c>
      <c r="DM35" s="8">
        <f>DT34</f>
        <v/>
      </c>
      <c r="DN35" s="10" t="n">
        <v>0</v>
      </c>
      <c r="DO35" s="8">
        <f>DM35+DN35</f>
        <v/>
      </c>
      <c r="DP35" s="61">
        <f>L35</f>
        <v/>
      </c>
      <c r="DQ35" s="106" t="n">
        <v>0.0003</v>
      </c>
      <c r="DR35" s="12">
        <f>DQ35*DP35</f>
        <v/>
      </c>
      <c r="DS35" s="10">
        <f>DO35-DR35</f>
        <v/>
      </c>
      <c r="DT35" s="11">
        <f>DS35</f>
        <v/>
      </c>
      <c r="DU35" s="10">
        <f>DJ35+DT35</f>
        <v/>
      </c>
      <c r="DW35" s="3" t="n">
        <v>31</v>
      </c>
      <c r="DX35" s="18">
        <f>DL35</f>
        <v/>
      </c>
      <c r="DY35" s="8">
        <f>EF34</f>
        <v/>
      </c>
      <c r="DZ35" s="10" t="n">
        <v>0</v>
      </c>
      <c r="EA35" s="8">
        <f>DY35+DZ35</f>
        <v/>
      </c>
      <c r="EB35" s="61">
        <f>K35</f>
        <v/>
      </c>
      <c r="EC35" s="106" t="n">
        <v>0.0002</v>
      </c>
      <c r="ED35" s="10">
        <f>EB35*EC35</f>
        <v/>
      </c>
      <c r="EE35" s="10">
        <f>EA35-ED35</f>
        <v/>
      </c>
      <c r="EF35" s="11">
        <f>EE35</f>
        <v/>
      </c>
      <c r="EG35" s="3" t="n">
        <v>31</v>
      </c>
      <c r="EH35" s="18">
        <f>DX35</f>
        <v/>
      </c>
      <c r="EI35" s="8">
        <f>EP34</f>
        <v/>
      </c>
      <c r="EJ35" s="10" t="n">
        <v>0</v>
      </c>
      <c r="EK35" s="8">
        <f>EI35+EJ35</f>
        <v/>
      </c>
      <c r="EL35" s="61">
        <f>L35</f>
        <v/>
      </c>
      <c r="EM35" s="106" t="n">
        <v>0.0005999999999999999</v>
      </c>
      <c r="EN35" s="12">
        <f>EM35*EL35</f>
        <v/>
      </c>
      <c r="EO35" s="10">
        <f>EK35-EN35</f>
        <v/>
      </c>
      <c r="EP35" s="11">
        <f>EO35</f>
        <v/>
      </c>
      <c r="EQ35" s="10">
        <f>EF35+EP35</f>
        <v/>
      </c>
      <c r="ES35" s="3" t="n">
        <v>31</v>
      </c>
      <c r="ET35" s="18">
        <f>EH35</f>
        <v/>
      </c>
      <c r="EU35" s="8">
        <f>FB34</f>
        <v/>
      </c>
      <c r="EV35" s="10" t="n">
        <v>0</v>
      </c>
      <c r="EW35" s="8">
        <f>EU35+EV35</f>
        <v/>
      </c>
      <c r="EX35" s="61">
        <f>K35</f>
        <v/>
      </c>
      <c r="EY35" s="107" t="n">
        <v>0.002</v>
      </c>
      <c r="EZ35" s="10">
        <f>EX35*EY35</f>
        <v/>
      </c>
      <c r="FA35" s="10">
        <f>EW35-EZ35</f>
        <v/>
      </c>
      <c r="FB35" s="11">
        <f>FA35</f>
        <v/>
      </c>
      <c r="FC35" s="3" t="n">
        <v>31</v>
      </c>
      <c r="FD35" s="18">
        <f>ET35</f>
        <v/>
      </c>
      <c r="FE35" s="8">
        <f>FL34</f>
        <v/>
      </c>
      <c r="FF35" s="10" t="n">
        <v>0</v>
      </c>
      <c r="FG35" s="8">
        <f>FE35+FF35</f>
        <v/>
      </c>
      <c r="FH35" s="61">
        <f>L35</f>
        <v/>
      </c>
      <c r="FI35" s="107" t="n">
        <v>0.0025</v>
      </c>
      <c r="FJ35" s="12">
        <f>FI35*FH35</f>
        <v/>
      </c>
      <c r="FK35" s="10">
        <f>FG35-FJ35</f>
        <v/>
      </c>
      <c r="FL35" s="11">
        <f>FK35</f>
        <v/>
      </c>
      <c r="FM35" s="10">
        <f>FB35+FL35</f>
        <v/>
      </c>
      <c r="FO35" s="3" t="n">
        <v>31</v>
      </c>
      <c r="FP35" s="18">
        <f>FD35</f>
        <v/>
      </c>
      <c r="FQ35" s="8">
        <f>FX34</f>
        <v/>
      </c>
      <c r="FR35" s="10" t="n">
        <v>0</v>
      </c>
      <c r="FS35" s="8">
        <f>FQ35+FR35</f>
        <v/>
      </c>
      <c r="FT35" s="61">
        <f>K35</f>
        <v/>
      </c>
      <c r="FU35" s="8" t="n">
        <v>0.002</v>
      </c>
      <c r="FV35" s="10">
        <f>FT35*FU35</f>
        <v/>
      </c>
      <c r="FW35" s="10">
        <f>FS35-FV35</f>
        <v/>
      </c>
      <c r="FX35" s="11">
        <f>FW35</f>
        <v/>
      </c>
      <c r="FY35" s="3" t="n">
        <v>31</v>
      </c>
      <c r="FZ35" s="18">
        <f>FP35</f>
        <v/>
      </c>
      <c r="GA35" s="8">
        <f>GH34</f>
        <v/>
      </c>
      <c r="GB35" s="10" t="n">
        <v>0</v>
      </c>
      <c r="GC35" s="8">
        <f>GA35+GB35</f>
        <v/>
      </c>
      <c r="GD35" s="61">
        <f>L35</f>
        <v/>
      </c>
      <c r="GE35" s="8" t="n">
        <v>0.005</v>
      </c>
      <c r="GF35" s="12">
        <f>GE35*GD35</f>
        <v/>
      </c>
      <c r="GG35" s="10">
        <f>GC35-GF35</f>
        <v/>
      </c>
      <c r="GH35" s="11">
        <f>GG35</f>
        <v/>
      </c>
      <c r="GI35" s="10">
        <f>FX35+GH35</f>
        <v/>
      </c>
      <c r="GK35" s="3" t="n">
        <v>31</v>
      </c>
      <c r="GL35" s="18">
        <f>FZ35</f>
        <v/>
      </c>
      <c r="GM35" s="8">
        <f>GT34</f>
        <v/>
      </c>
      <c r="GN35" s="10" t="n">
        <v>0</v>
      </c>
      <c r="GO35" s="8">
        <f>GM35+GN35</f>
        <v/>
      </c>
      <c r="GP35" s="61">
        <f>K35</f>
        <v/>
      </c>
      <c r="GQ35" s="8" t="n">
        <v>0.005</v>
      </c>
      <c r="GR35" s="10">
        <f>GP35*GQ35</f>
        <v/>
      </c>
      <c r="GS35" s="10">
        <f>GO35-GR35</f>
        <v/>
      </c>
      <c r="GT35" s="11">
        <f>GS35</f>
        <v/>
      </c>
      <c r="GU35" s="3" t="n">
        <v>31</v>
      </c>
      <c r="GV35" s="18">
        <f>GL35</f>
        <v/>
      </c>
      <c r="GW35" s="8">
        <f>HD34</f>
        <v/>
      </c>
      <c r="GX35" s="10" t="n">
        <v>0</v>
      </c>
      <c r="GY35" s="8">
        <f>GW35+GX35</f>
        <v/>
      </c>
      <c r="GZ35" s="61">
        <f>L35</f>
        <v/>
      </c>
      <c r="HA35" s="8" t="n">
        <v>0.0075</v>
      </c>
      <c r="HB35" s="12">
        <f>HA35*GZ35</f>
        <v/>
      </c>
      <c r="HC35" s="10">
        <f>GY35-HB35</f>
        <v/>
      </c>
      <c r="HD35" s="11">
        <f>HC35</f>
        <v/>
      </c>
      <c r="HE35" s="10">
        <f>GT35+HD35</f>
        <v/>
      </c>
      <c r="HG35" s="3" t="n">
        <v>31</v>
      </c>
      <c r="HH35" s="18">
        <f>GV35</f>
        <v/>
      </c>
      <c r="HI35" s="61">
        <f>K35</f>
        <v/>
      </c>
      <c r="HJ35" s="22" t="n">
        <v>1</v>
      </c>
      <c r="HK35" s="23">
        <f>HI35*HJ35</f>
        <v/>
      </c>
      <c r="HL35" s="61" t="n">
        <v>0.89</v>
      </c>
      <c r="HM35" s="23">
        <f>HI35*HL35</f>
        <v/>
      </c>
      <c r="HN35" s="22" t="n">
        <v>0.7</v>
      </c>
      <c r="HO35" s="22">
        <f>HN35*HI35</f>
        <v/>
      </c>
      <c r="HP35" s="22" t="n">
        <v>2.59</v>
      </c>
      <c r="HQ35" s="9">
        <f>HI35*HP35</f>
        <v/>
      </c>
      <c r="HR35" s="3" t="n">
        <v>31</v>
      </c>
      <c r="HS35" s="50" t="inlineStr">
        <is>
          <t>31/7/2023</t>
        </is>
      </c>
      <c r="HT35" s="61">
        <f>L35</f>
        <v/>
      </c>
      <c r="HU35" s="22" t="n">
        <v>1.64</v>
      </c>
      <c r="HV35" s="23">
        <f>HT35*HU35</f>
        <v/>
      </c>
      <c r="HW35" s="61" t="n">
        <v>1.14</v>
      </c>
      <c r="HX35" s="23">
        <f>HT35*HW35</f>
        <v/>
      </c>
      <c r="HY35" s="22" t="n">
        <v>1.1</v>
      </c>
      <c r="HZ35" s="22">
        <f>HY35*HT35</f>
        <v/>
      </c>
      <c r="IA35" s="22" t="n">
        <v>3.11</v>
      </c>
      <c r="IB35" s="9">
        <f>HT35*IA35</f>
        <v/>
      </c>
      <c r="IC35" s="9">
        <f>HK35+HV35</f>
        <v/>
      </c>
      <c r="ID35" s="9">
        <f>HM35+HX35</f>
        <v/>
      </c>
      <c r="IE35" s="9">
        <f>HO35+HZ35</f>
        <v/>
      </c>
      <c r="IF35" s="52" t="n"/>
      <c r="IG35" s="109" t="n"/>
      <c r="IH35" s="132" t="n"/>
      <c r="II35" s="140" t="n"/>
      <c r="IJ35" s="105">
        <f>IJ34</f>
        <v/>
      </c>
      <c r="IK35" s="105">
        <f>IJ35</f>
        <v/>
      </c>
      <c r="IL35" s="105">
        <f>K35</f>
        <v/>
      </c>
      <c r="IM35" s="105">
        <f>IL35*100</f>
        <v/>
      </c>
      <c r="IN35" s="105" t="n"/>
      <c r="IO35" s="105" t="n"/>
      <c r="IP35" s="105">
        <f>IL35*20</f>
        <v/>
      </c>
      <c r="IQ35" s="105">
        <f>IL35*0.3</f>
        <v/>
      </c>
      <c r="IR35" s="105">
        <f>IL35*0.4</f>
        <v/>
      </c>
      <c r="IS35" s="105">
        <f>IL35*1.5</f>
        <v/>
      </c>
      <c r="IT35" s="105">
        <f>IL35*5</f>
        <v/>
      </c>
      <c r="IU35" s="105">
        <f>IL35*2</f>
        <v/>
      </c>
      <c r="IV35" s="105">
        <f>IL35*2.08</f>
        <v/>
      </c>
      <c r="IW35" s="13" t="n"/>
      <c r="IX35" s="105">
        <f>IL35*2.08</f>
        <v/>
      </c>
      <c r="IY35" s="13" t="n"/>
      <c r="IZ35" s="109">
        <f>IG35</f>
        <v/>
      </c>
      <c r="JA35" s="132" t="inlineStr">
        <is>
          <t>cq/kokj</t>
        </is>
      </c>
      <c r="JB35" s="140" t="inlineStr">
        <is>
          <t>gjcjk</t>
        </is>
      </c>
      <c r="JC35" s="105">
        <f>JC34</f>
        <v/>
      </c>
      <c r="JD35" s="105">
        <f>JC35</f>
        <v/>
      </c>
      <c r="JE35" s="105">
        <f>L35</f>
        <v/>
      </c>
      <c r="JF35" s="105">
        <f>JE35*150</f>
        <v/>
      </c>
      <c r="JG35" s="105" t="n"/>
      <c r="JH35" s="105" t="n"/>
      <c r="JI35" s="105">
        <f>JE35*30</f>
        <v/>
      </c>
      <c r="JJ35" s="105">
        <f>JE35*0.25</f>
        <v/>
      </c>
      <c r="JK35" s="105">
        <f>JE35*0.4</f>
        <v/>
      </c>
      <c r="JL35" s="105">
        <f>JE35*2.5</f>
        <v/>
      </c>
      <c r="JM35" s="105">
        <f>JE35*7.5</f>
        <v/>
      </c>
      <c r="JN35" s="105">
        <f>JE35*4</f>
        <v/>
      </c>
      <c r="JO35" s="105">
        <f>JE35*3.11</f>
        <v/>
      </c>
      <c r="JP35" s="13" t="n"/>
      <c r="JQ35" s="105">
        <f>JE35*3.11</f>
        <v/>
      </c>
      <c r="JR35" s="13" t="n"/>
      <c r="JS35" s="52" t="n"/>
      <c r="JT35" s="52" t="n"/>
      <c r="JU35" s="52" t="n"/>
      <c r="JV35" s="52" t="n"/>
      <c r="JW35" s="52" t="n"/>
      <c r="JX35" s="52" t="n"/>
      <c r="JY35" s="52" t="n"/>
      <c r="JZ35" s="52" t="n"/>
      <c r="KA35" s="52" t="n"/>
      <c r="KB35" s="52" t="n"/>
      <c r="KC35" s="52" t="n"/>
      <c r="KD35" s="52" t="n"/>
      <c r="KE35" s="52" t="n"/>
      <c r="KF35" s="52" t="n"/>
      <c r="KG35" s="52" t="n"/>
      <c r="KH35" s="52" t="n"/>
      <c r="KI35" s="52" t="n"/>
    </row>
    <row r="36" ht="35.1" customFormat="1" customHeight="1" s="14">
      <c r="A36" s="132" t="n"/>
      <c r="B36" s="140" t="n"/>
      <c r="C36" s="140">
        <f>SUM(C5:C35)</f>
        <v/>
      </c>
      <c r="D36" s="140">
        <f>SUM(D5:D35)</f>
        <v/>
      </c>
      <c r="E36" s="140">
        <f>SUM(E5:E35)</f>
        <v/>
      </c>
      <c r="F36" s="140">
        <f>SUM(F5:F35)</f>
        <v/>
      </c>
      <c r="G36" s="140">
        <f>SUM(G5:G35)</f>
        <v/>
      </c>
      <c r="H36" s="140">
        <f>SUM(H5:H35)</f>
        <v/>
      </c>
      <c r="I36" s="132" t="n"/>
      <c r="J36" s="140" t="n"/>
      <c r="K36" s="13">
        <f>SUM(K5:K35)</f>
        <v/>
      </c>
      <c r="L36" s="61">
        <f>SUM(L5:L35)</f>
        <v/>
      </c>
      <c r="M36" s="61">
        <f>SUM(K36:L36)</f>
        <v/>
      </c>
      <c r="N36" s="140" t="n"/>
      <c r="O36" s="140" t="n"/>
      <c r="Q36" s="3" t="n"/>
      <c r="R36" s="140" t="n"/>
      <c r="S36" s="70" t="n"/>
      <c r="T36" s="70">
        <f>SUM(T5:T35)</f>
        <v/>
      </c>
      <c r="U36" s="70" t="n"/>
      <c r="V36" s="71">
        <f>SUM(V5:V35)</f>
        <v/>
      </c>
      <c r="W36" s="70" t="n"/>
      <c r="X36" s="70">
        <f>SUM(X5:X35)</f>
        <v/>
      </c>
      <c r="Y36" s="70" t="n"/>
      <c r="Z36" s="70" t="n"/>
      <c r="AA36" s="3" t="n"/>
      <c r="AB36" s="13" t="n"/>
      <c r="AC36" s="70" t="n"/>
      <c r="AD36" s="70">
        <f>SUM(AD5:AD35)</f>
        <v/>
      </c>
      <c r="AE36" s="70" t="n"/>
      <c r="AF36" s="71">
        <f>SUM(AF5:AF35)</f>
        <v/>
      </c>
      <c r="AG36" s="70" t="n"/>
      <c r="AH36" s="70">
        <f>SUM(AH5:AH35)</f>
        <v/>
      </c>
      <c r="AI36" s="70" t="n"/>
      <c r="AJ36" s="70" t="n"/>
      <c r="AK36" s="10" t="n"/>
      <c r="AL36" s="140" t="n"/>
      <c r="AM36" s="3" t="n"/>
      <c r="AN36" s="13" t="n"/>
      <c r="AO36" s="11" t="n"/>
      <c r="AP36" s="70">
        <f>SUM(AP5:AP35)</f>
        <v/>
      </c>
      <c r="AQ36" s="70" t="n"/>
      <c r="AR36" s="71">
        <f>SUM(AR5:AR35)</f>
        <v/>
      </c>
      <c r="AS36" s="70" t="n"/>
      <c r="AT36" s="70">
        <f>SUM(AT5:AT35)</f>
        <v/>
      </c>
      <c r="AU36" s="10" t="n"/>
      <c r="AV36" s="11" t="n"/>
      <c r="AW36" s="3" t="n"/>
      <c r="AX36" s="13" t="n"/>
      <c r="AY36" s="8" t="n"/>
      <c r="AZ36" s="70">
        <f>SUM(AZ5:AZ35)</f>
        <v/>
      </c>
      <c r="BA36" s="70" t="n"/>
      <c r="BB36" s="71">
        <f>SUM(BB5:BB35)</f>
        <v/>
      </c>
      <c r="BC36" s="70" t="n"/>
      <c r="BD36" s="70">
        <f>SUM(BD5:BD35)</f>
        <v/>
      </c>
      <c r="BE36" s="10" t="n"/>
      <c r="BF36" s="11" t="n"/>
      <c r="BG36" s="10" t="n"/>
      <c r="BH36" s="119" t="n"/>
      <c r="BI36" s="3" t="n"/>
      <c r="BJ36" s="13" t="n"/>
      <c r="BK36" s="11" t="n"/>
      <c r="BL36" s="70">
        <f>SUM(BL5:BL35)</f>
        <v/>
      </c>
      <c r="BM36" s="70" t="n"/>
      <c r="BN36" s="71">
        <f>SUM(BN5:BN35)</f>
        <v/>
      </c>
      <c r="BO36" s="70" t="n"/>
      <c r="BP36" s="70">
        <f>SUM(BP5:BP35)</f>
        <v/>
      </c>
      <c r="BQ36" s="10" t="n"/>
      <c r="BR36" s="11" t="n"/>
      <c r="BS36" s="3" t="n"/>
      <c r="BT36" s="13" t="n"/>
      <c r="BU36" s="8" t="n"/>
      <c r="BV36" s="70">
        <f>SUM(BV5:BV35)</f>
        <v/>
      </c>
      <c r="BW36" s="70" t="n"/>
      <c r="BX36" s="71">
        <f>SUM(BX5:BX35)</f>
        <v/>
      </c>
      <c r="BY36" s="70" t="n"/>
      <c r="BZ36" s="70">
        <f>SUM(BZ5:BZ35)</f>
        <v/>
      </c>
      <c r="CA36" s="10" t="n"/>
      <c r="CB36" s="11" t="n"/>
      <c r="CC36" s="10" t="n"/>
      <c r="CD36" s="140" t="n"/>
      <c r="CE36" s="3" t="n"/>
      <c r="CF36" s="13" t="n"/>
      <c r="CG36" s="11" t="n"/>
      <c r="CH36" s="70">
        <f>SUM(CH5:CH35)</f>
        <v/>
      </c>
      <c r="CI36" s="70" t="n"/>
      <c r="CJ36" s="71">
        <f>SUM(CJ5:CJ35)</f>
        <v/>
      </c>
      <c r="CK36" s="70" t="n"/>
      <c r="CL36" s="70">
        <f>SUM(CL5:CL35)</f>
        <v/>
      </c>
      <c r="CM36" s="10" t="n"/>
      <c r="CN36" s="11" t="n"/>
      <c r="CO36" s="3" t="n"/>
      <c r="CP36" s="13" t="n"/>
      <c r="CQ36" s="8" t="n"/>
      <c r="CR36" s="70">
        <f>SUM(CR5:CR35)</f>
        <v/>
      </c>
      <c r="CS36" s="70" t="n"/>
      <c r="CT36" s="71">
        <f>SUM(CT5:CT35)</f>
        <v/>
      </c>
      <c r="CU36" s="70" t="n"/>
      <c r="CV36" s="70">
        <f>SUM(CV5:CV35)</f>
        <v/>
      </c>
      <c r="CW36" s="10" t="n"/>
      <c r="CX36" s="11" t="n"/>
      <c r="CY36" s="10" t="n"/>
      <c r="CZ36" s="140" t="n"/>
      <c r="DA36" s="3" t="n"/>
      <c r="DB36" s="13" t="n"/>
      <c r="DC36" s="11" t="n"/>
      <c r="DD36" s="70">
        <f>SUM(DD5:DD35)</f>
        <v/>
      </c>
      <c r="DE36" s="70" t="n"/>
      <c r="DF36" s="71">
        <f>SUM(DF5:DF35)</f>
        <v/>
      </c>
      <c r="DG36" s="70" t="n"/>
      <c r="DH36" s="70">
        <f>SUM(DH5:DH35)</f>
        <v/>
      </c>
      <c r="DI36" s="10" t="n"/>
      <c r="DJ36" s="11" t="n"/>
      <c r="DK36" s="3" t="n"/>
      <c r="DL36" s="13" t="n"/>
      <c r="DM36" s="8" t="n"/>
      <c r="DN36" s="70">
        <f>SUM(DN5:DN35)</f>
        <v/>
      </c>
      <c r="DO36" s="70" t="n"/>
      <c r="DP36" s="71">
        <f>SUM(DP5:DP35)</f>
        <v/>
      </c>
      <c r="DQ36" s="70" t="n"/>
      <c r="DR36" s="70">
        <f>SUM(DR5:DR35)</f>
        <v/>
      </c>
      <c r="DS36" s="10" t="n"/>
      <c r="DT36" s="11" t="n"/>
      <c r="DU36" s="10" t="n"/>
      <c r="DV36" s="140" t="n"/>
      <c r="DW36" s="3" t="n"/>
      <c r="DX36" s="13" t="n"/>
      <c r="DY36" s="11" t="n"/>
      <c r="DZ36" s="70">
        <f>SUM(DZ5:DZ35)</f>
        <v/>
      </c>
      <c r="EA36" s="70" t="n"/>
      <c r="EB36" s="71">
        <f>SUM(EB5:EB35)</f>
        <v/>
      </c>
      <c r="EC36" s="70" t="n"/>
      <c r="ED36" s="70">
        <f>SUM(ED5:ED35)</f>
        <v/>
      </c>
      <c r="EE36" s="10" t="n"/>
      <c r="EF36" s="11" t="n"/>
      <c r="EG36" s="3" t="n"/>
      <c r="EH36" s="13" t="n"/>
      <c r="EI36" s="8" t="n"/>
      <c r="EJ36" s="70">
        <f>SUM(EJ5:EJ35)</f>
        <v/>
      </c>
      <c r="EK36" s="70" t="n"/>
      <c r="EL36" s="71">
        <f>SUM(EL5:EL35)</f>
        <v/>
      </c>
      <c r="EM36" s="70" t="n"/>
      <c r="EN36" s="70">
        <f>SUM(EN5:EN35)</f>
        <v/>
      </c>
      <c r="EO36" s="10" t="n"/>
      <c r="EP36" s="11" t="n"/>
      <c r="EQ36" s="10" t="n"/>
      <c r="ER36" s="140" t="n"/>
      <c r="ES36" s="3" t="n"/>
      <c r="ET36" s="13" t="n"/>
      <c r="EU36" s="11" t="n"/>
      <c r="EV36" s="70">
        <f>SUM(EV5:EV35)</f>
        <v/>
      </c>
      <c r="EW36" s="70" t="n"/>
      <c r="EX36" s="71">
        <f>SUM(EX5:EX35)</f>
        <v/>
      </c>
      <c r="EY36" s="70" t="n"/>
      <c r="EZ36" s="70">
        <f>SUM(EZ5:EZ35)</f>
        <v/>
      </c>
      <c r="FA36" s="10" t="n"/>
      <c r="FB36" s="11" t="n"/>
      <c r="FC36" s="3" t="n"/>
      <c r="FD36" s="13" t="n"/>
      <c r="FE36" s="8" t="n"/>
      <c r="FF36" s="70">
        <f>SUM(FF5:FF35)</f>
        <v/>
      </c>
      <c r="FG36" s="70" t="n"/>
      <c r="FH36" s="71">
        <f>SUM(FH5:FH35)</f>
        <v/>
      </c>
      <c r="FI36" s="70" t="n"/>
      <c r="FJ36" s="70">
        <f>SUM(FJ5:FJ35)</f>
        <v/>
      </c>
      <c r="FK36" s="10" t="n"/>
      <c r="FL36" s="11" t="n"/>
      <c r="FM36" s="10" t="n"/>
      <c r="FN36" s="140" t="n"/>
      <c r="FO36" s="3" t="n"/>
      <c r="FP36" s="13" t="n"/>
      <c r="FQ36" s="11" t="n"/>
      <c r="FR36" s="70">
        <f>SUM(FR5:FR35)</f>
        <v/>
      </c>
      <c r="FS36" s="70" t="n"/>
      <c r="FT36" s="71">
        <f>SUM(FT5:FT35)</f>
        <v/>
      </c>
      <c r="FU36" s="70" t="n"/>
      <c r="FV36" s="70">
        <f>SUM(FV5:FV35)</f>
        <v/>
      </c>
      <c r="FW36" s="10" t="n"/>
      <c r="FX36" s="11" t="n"/>
      <c r="FY36" s="3" t="n"/>
      <c r="FZ36" s="13" t="n"/>
      <c r="GA36" s="8" t="n"/>
      <c r="GB36" s="70">
        <f>SUM(GB5:GB35)</f>
        <v/>
      </c>
      <c r="GC36" s="70" t="n"/>
      <c r="GD36" s="71">
        <f>SUM(GD5:GD35)</f>
        <v/>
      </c>
      <c r="GE36" s="70" t="n"/>
      <c r="GF36" s="70">
        <f>SUM(GF5:GF35)</f>
        <v/>
      </c>
      <c r="GG36" s="10" t="n"/>
      <c r="GH36" s="11" t="n"/>
      <c r="GI36" s="10" t="n"/>
      <c r="GJ36" s="140" t="n"/>
      <c r="GK36" s="3" t="n"/>
      <c r="GL36" s="13" t="n"/>
      <c r="GM36" s="11" t="n"/>
      <c r="GN36" s="70">
        <f>SUM(GN5:GN35)</f>
        <v/>
      </c>
      <c r="GO36" s="70" t="n"/>
      <c r="GP36" s="71">
        <f>SUM(GP5:GP35)</f>
        <v/>
      </c>
      <c r="GQ36" s="70" t="n"/>
      <c r="GR36" s="70">
        <f>SUM(GR5:GR35)</f>
        <v/>
      </c>
      <c r="GS36" s="10" t="n"/>
      <c r="GT36" s="11" t="n"/>
      <c r="GU36" s="3" t="n"/>
      <c r="GV36" s="13" t="n"/>
      <c r="GW36" s="8" t="n"/>
      <c r="GX36" s="70">
        <f>SUM(GX5:GX35)</f>
        <v/>
      </c>
      <c r="GY36" s="70" t="n"/>
      <c r="GZ36" s="71">
        <f>SUM(GZ5:GZ35)</f>
        <v/>
      </c>
      <c r="HA36" s="70" t="n"/>
      <c r="HB36" s="70">
        <f>SUM(HB5:HB35)</f>
        <v/>
      </c>
      <c r="HC36" s="10" t="n"/>
      <c r="HD36" s="11" t="n"/>
      <c r="HE36" s="10" t="n"/>
      <c r="HF36" s="140" t="n"/>
      <c r="HG36" s="3" t="n"/>
      <c r="HH36" s="13" t="n"/>
      <c r="HI36" s="61" t="n"/>
      <c r="HJ36" s="22" t="n"/>
      <c r="HK36" s="23">
        <f>SUM(HK5:HK35)</f>
        <v/>
      </c>
      <c r="HL36" s="61" t="n"/>
      <c r="HM36" s="23">
        <f>SUM(HM5:HM35)</f>
        <v/>
      </c>
      <c r="HN36" s="22" t="n"/>
      <c r="HO36" s="22">
        <f>SUM(HO5:HO35)</f>
        <v/>
      </c>
      <c r="HP36" s="22" t="n"/>
      <c r="HQ36" s="9">
        <f>SUM(HQ5:HQ35)</f>
        <v/>
      </c>
      <c r="HR36" s="3" t="n"/>
      <c r="HS36" s="13" t="n"/>
      <c r="HT36" s="61" t="n"/>
      <c r="HU36" s="22" t="n"/>
      <c r="HV36" s="23">
        <f>SUM(HV5:HV35)</f>
        <v/>
      </c>
      <c r="HW36" s="61" t="n"/>
      <c r="HX36" s="23">
        <f>SUM(HX5:HX35)</f>
        <v/>
      </c>
      <c r="HY36" s="22" t="n"/>
      <c r="HZ36" s="22">
        <f>SUM(HZ5:HZ35)</f>
        <v/>
      </c>
      <c r="IA36" s="22" t="n"/>
      <c r="IB36" s="9">
        <f>SUM(IB5:IB35)</f>
        <v/>
      </c>
      <c r="IC36" s="9">
        <f>SUM(IC5:IC35)</f>
        <v/>
      </c>
      <c r="ID36" s="9">
        <f>SUM(ID5:ID35)</f>
        <v/>
      </c>
      <c r="IE36" s="9">
        <f>SUM(IE5:IE35)</f>
        <v/>
      </c>
      <c r="IF36" s="52" t="n"/>
      <c r="IG36" s="13" t="n"/>
      <c r="IH36" s="13" t="n"/>
      <c r="II36" s="13" t="n"/>
      <c r="IJ36" s="13" t="n"/>
      <c r="IK36" s="13" t="n"/>
      <c r="IL36" s="13" t="n"/>
      <c r="IM36" s="13" t="n"/>
      <c r="IN36" s="13">
        <f>SUM(IN5:IN35)</f>
        <v/>
      </c>
      <c r="IO36" s="13">
        <f>SUM(IO5:IO35)</f>
        <v/>
      </c>
      <c r="IP36" s="13">
        <f>SUM(IP5:IP35)</f>
        <v/>
      </c>
      <c r="IQ36" s="13">
        <f>SUM(IQ5:IQ35)</f>
        <v/>
      </c>
      <c r="IR36" s="13">
        <f>SUM(IR5:IR35)</f>
        <v/>
      </c>
      <c r="IS36" s="13">
        <f>SUM(IS5:IS35)</f>
        <v/>
      </c>
      <c r="IT36" s="13">
        <f>SUM(IT5:IT35)</f>
        <v/>
      </c>
      <c r="IU36" s="13">
        <f>SUM(IU5:IU35)</f>
        <v/>
      </c>
      <c r="IV36" s="13">
        <f>SUM(IV5:IV35)</f>
        <v/>
      </c>
      <c r="IW36" s="13" t="n"/>
      <c r="IX36" s="13" t="n"/>
      <c r="IY36" s="13" t="n"/>
      <c r="IZ36" s="13" t="n"/>
      <c r="JA36" s="13" t="n"/>
      <c r="JB36" s="13" t="n"/>
      <c r="JC36" s="13" t="n"/>
      <c r="JD36" s="13" t="n"/>
      <c r="JE36" s="13" t="n"/>
      <c r="JF36" s="13" t="n"/>
      <c r="JG36" s="13">
        <f>SUM(JG5:JG35)</f>
        <v/>
      </c>
      <c r="JH36" s="13">
        <f>SUM(JH5:JH35)</f>
        <v/>
      </c>
      <c r="JI36" s="13">
        <f>SUM(JI5:JI35)</f>
        <v/>
      </c>
      <c r="JJ36" s="13">
        <f>SUM(JJ5:JJ35)</f>
        <v/>
      </c>
      <c r="JK36" s="13">
        <f>SUM(JK5:JK35)</f>
        <v/>
      </c>
      <c r="JL36" s="13">
        <f>SUM(JL5:JL35)</f>
        <v/>
      </c>
      <c r="JM36" s="13">
        <f>SUM(JM5:JM35)</f>
        <v/>
      </c>
      <c r="JN36" s="13">
        <f>SUM(JN5:JN35)</f>
        <v/>
      </c>
      <c r="JO36" s="13">
        <f>SUM(JO5:JO35)</f>
        <v/>
      </c>
      <c r="JP36" s="13" t="n"/>
      <c r="JQ36" s="13" t="n"/>
      <c r="JR36" s="13" t="n"/>
      <c r="JS36" s="52" t="n"/>
      <c r="JT36" s="52" t="n"/>
      <c r="JU36" s="52" t="n"/>
      <c r="JV36" s="52" t="n"/>
      <c r="JW36" s="52" t="n"/>
      <c r="JX36" s="52" t="n"/>
      <c r="JY36" s="52" t="n"/>
      <c r="JZ36" s="52" t="n"/>
      <c r="KA36" s="52" t="n"/>
      <c r="KB36" s="52" t="n"/>
      <c r="KC36" s="52" t="n"/>
      <c r="KD36" s="52" t="n"/>
      <c r="KE36" s="52" t="n"/>
      <c r="KF36" s="52" t="n"/>
      <c r="KG36" s="52" t="n"/>
      <c r="KH36" s="52" t="n"/>
      <c r="KI36" s="52" t="n"/>
    </row>
    <row r="37" ht="15.75" customHeight="1">
      <c r="R37" s="21" t="n"/>
      <c r="IG37" s="57" t="n"/>
      <c r="IH37" s="57" t="n"/>
      <c r="II37" s="57" t="n"/>
      <c r="IJ37" s="57" t="n"/>
      <c r="IK37" s="57" t="n"/>
      <c r="IL37" s="57" t="n"/>
      <c r="IM37" s="57" t="n"/>
      <c r="IN37" s="57" t="n"/>
      <c r="IO37" s="57" t="n"/>
      <c r="IP37" s="57" t="n"/>
      <c r="IQ37" s="57" t="n"/>
      <c r="IR37" s="57" t="n"/>
      <c r="IS37" s="57" t="n"/>
      <c r="IT37" s="57" t="n"/>
      <c r="IU37" s="57" t="n"/>
      <c r="IV37" s="57" t="n"/>
      <c r="IW37" s="57" t="n"/>
      <c r="IX37" s="57" t="n"/>
      <c r="IY37" s="57" t="n"/>
      <c r="IZ37" s="57" t="n"/>
      <c r="JA37" s="57" t="n"/>
      <c r="JB37" s="57" t="n"/>
      <c r="JC37" s="57" t="n"/>
      <c r="JD37" s="57" t="n"/>
      <c r="JE37" s="57" t="n"/>
      <c r="JF37" s="57" t="n"/>
      <c r="JG37" s="57" t="n"/>
      <c r="JH37" s="57" t="n"/>
      <c r="JI37" s="57" t="n"/>
      <c r="JJ37" s="57" t="n"/>
      <c r="JK37" s="57" t="n"/>
      <c r="JL37" s="57" t="n"/>
      <c r="JM37" s="57" t="n"/>
      <c r="JN37" s="57" t="n"/>
      <c r="JO37" s="57" t="n"/>
      <c r="JP37" s="57" t="n"/>
      <c r="JQ37" s="57" t="n"/>
      <c r="JR37" s="57" t="n"/>
    </row>
  </sheetData>
  <mergeCells count="27">
    <mergeCell ref="EH3:EQ3"/>
    <mergeCell ref="HG3:HQ3"/>
    <mergeCell ref="AX3:BG3"/>
    <mergeCell ref="GV3:HE3"/>
    <mergeCell ref="I3:N3"/>
    <mergeCell ref="AM3:AV3"/>
    <mergeCell ref="DL3:DU3"/>
    <mergeCell ref="GK3:GT3"/>
    <mergeCell ref="FZ3:GI3"/>
    <mergeCell ref="JT3:JY3"/>
    <mergeCell ref="AB3:AK3"/>
    <mergeCell ref="D1:G1"/>
    <mergeCell ref="DA3:DJ3"/>
    <mergeCell ref="Q3:Z3"/>
    <mergeCell ref="FO3:FX3"/>
    <mergeCell ref="DW3:EF3"/>
    <mergeCell ref="HS3:IB3"/>
    <mergeCell ref="C3:H3"/>
    <mergeCell ref="CE3:CN3"/>
    <mergeCell ref="FD3:FM3"/>
    <mergeCell ref="ES3:FB3"/>
    <mergeCell ref="I2:N2"/>
    <mergeCell ref="BT3:CC3"/>
    <mergeCell ref="BI3:BR3"/>
    <mergeCell ref="IC3:IE3"/>
    <mergeCell ref="CP3:CY3"/>
    <mergeCell ref="JT2:JY2"/>
  </mergeCells>
  <pageMargins left="0.22" right="0.16" top="0.2" bottom="0.17" header="0.22" footer="0.17"/>
  <pageSetup orientation="landscape" paperSize="5" fitToHeight="34" fitToWidth="34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topLeftCell="H7" workbookViewId="0">
      <selection activeCell="K16" sqref="K16"/>
    </sheetView>
  </sheetViews>
  <sheetFormatPr baseColWidth="8" defaultRowHeight="15"/>
  <cols>
    <col width="4" customWidth="1" min="1" max="1"/>
    <col width="10.5703125" customWidth="1" min="2" max="2"/>
    <col width="11.28515625" customWidth="1" min="3" max="3"/>
    <col width="11.85546875" customWidth="1" min="4" max="4"/>
    <col width="11.28515625" customWidth="1" min="5" max="5"/>
    <col width="13.42578125" customWidth="1" min="6" max="6"/>
    <col width="12.140625" customWidth="1" min="7" max="7"/>
    <col width="12.5703125" customWidth="1" min="8" max="8"/>
    <col width="17.42578125" customWidth="1" min="9" max="9"/>
    <col width="2.7109375" customWidth="1" min="10" max="10"/>
    <col width="4.7109375" customWidth="1" min="11" max="11"/>
    <col width="12" customWidth="1" min="12" max="12"/>
    <col width="11.140625" customWidth="1" min="13" max="14"/>
    <col width="12" customWidth="1" min="15" max="15"/>
    <col width="14" customWidth="1" min="16" max="16"/>
    <col width="14.7109375" customWidth="1" min="17" max="17"/>
    <col width="10.42578125" customWidth="1" min="18" max="18"/>
    <col width="15.85546875" customWidth="1" min="19" max="19"/>
  </cols>
  <sheetData>
    <row r="1" ht="31.5" customHeight="1">
      <c r="A1" s="24" t="inlineStr">
        <is>
          <t xml:space="preserve">    jk"Vªh; e/;kUg Hkkstu dk;ZØe ;kstuk izi= &amp; c (b-6 rs 8)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K1" s="24" t="inlineStr">
        <is>
          <t xml:space="preserve">       'kkys; iks"k.k vkgkj ;kstuk izi= &amp; c (b- 5 oh)</t>
        </is>
      </c>
      <c r="L1" s="1" t="n"/>
      <c r="M1" s="1" t="n"/>
      <c r="N1" s="1" t="n"/>
      <c r="O1" s="1" t="n"/>
      <c r="P1" s="1" t="n"/>
      <c r="Q1" s="1" t="n"/>
      <c r="R1" s="1" t="n"/>
      <c r="S1" s="1" t="n"/>
    </row>
    <row r="2" ht="26.25" customHeight="1">
      <c r="A2" s="25" t="inlineStr">
        <is>
          <t xml:space="preserve">       'kkGsus dsanzizeq[kkauk njegk 1 rkj[ksi;Zar |ko;kpk vgoky ¼ 2 izrhr ½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K2" s="25" t="inlineStr">
        <is>
          <t xml:space="preserve">       'kkGsus dsanzizeq[kkauk njegk 1 rkj[ksi;Zar |ko;kpk vgoky ¼ 2 izrhr ½</t>
        </is>
      </c>
      <c r="L2" s="1" t="n"/>
      <c r="M2" s="1" t="n"/>
      <c r="N2" s="1" t="n"/>
      <c r="O2" s="1" t="n"/>
      <c r="P2" s="1" t="n"/>
      <c r="Q2" s="1" t="n"/>
      <c r="R2" s="1" t="n"/>
      <c r="S2" s="1" t="n"/>
    </row>
    <row r="3" ht="26.25" customHeight="1">
      <c r="A3" s="26" t="inlineStr">
        <is>
          <t xml:space="preserve"> 'kkGsps uko &amp;% bafnjkckbZ dU;k fo|ky;] f'kjkGk] rk- ft- vejkorh-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K3" s="26" t="inlineStr">
        <is>
          <t xml:space="preserve"> 'kkGsps uko &amp;% bafnjkckbZ dU;k fo|ky;] f'kjkGk] rk- ft- vejkorh-</t>
        </is>
      </c>
      <c r="L3" s="1" t="n"/>
      <c r="M3" s="1" t="n"/>
      <c r="N3" s="1" t="n"/>
      <c r="O3" s="1" t="n"/>
      <c r="P3" s="1" t="n"/>
      <c r="Q3" s="1" t="n"/>
      <c r="R3" s="1" t="n"/>
      <c r="S3" s="1" t="n"/>
    </row>
    <row r="4" ht="23.25" customHeight="1">
      <c r="A4" s="1" t="n"/>
      <c r="B4" s="1" t="n"/>
      <c r="C4" s="27" t="n"/>
      <c r="D4" s="1" t="n"/>
      <c r="E4" s="28" t="inlineStr">
        <is>
          <t>dsanz &amp;   varksjk</t>
        </is>
      </c>
      <c r="F4" s="1" t="n"/>
      <c r="G4" s="1" t="n"/>
      <c r="H4" s="1" t="n"/>
      <c r="I4" s="1" t="n"/>
      <c r="K4" s="1" t="n"/>
      <c r="L4" s="1" t="n"/>
      <c r="M4" s="27" t="n"/>
      <c r="N4" s="1" t="n"/>
      <c r="O4" s="28" t="inlineStr">
        <is>
          <t>dsanz &amp;   varksjk</t>
        </is>
      </c>
      <c r="P4" s="1" t="n"/>
      <c r="Q4" s="1" t="n"/>
      <c r="R4" s="1" t="n"/>
      <c r="S4" s="1" t="n"/>
    </row>
    <row r="5" ht="23.25" customHeight="1">
      <c r="A5" s="147" t="inlineStr">
        <is>
          <t>iVlaa[;k ba 6 rs 8 oh</t>
        </is>
      </c>
      <c r="B5" s="179" t="n"/>
      <c r="C5" s="179" t="n"/>
      <c r="D5" s="179" t="n"/>
      <c r="E5" s="149" t="n">
        <v>40</v>
      </c>
      <c r="F5" s="180" t="n"/>
      <c r="G5" s="184" t="inlineStr">
        <is>
          <t>,dq.k dk;Zfnol</t>
        </is>
      </c>
      <c r="H5" s="180" t="n"/>
      <c r="I5" s="72">
        <f>Sheet1!O36</f>
        <v/>
      </c>
      <c r="K5" s="147" t="inlineStr">
        <is>
          <t>iVlaa[;k ba 6 rs 8 oh</t>
        </is>
      </c>
      <c r="L5" s="179" t="n"/>
      <c r="M5" s="179" t="n"/>
      <c r="N5" s="179" t="n"/>
      <c r="O5" s="156" t="n">
        <v>11</v>
      </c>
      <c r="P5" s="180" t="n"/>
      <c r="Q5" s="184" t="inlineStr">
        <is>
          <t>,dq.k dk;Zfnol</t>
        </is>
      </c>
      <c r="R5" s="180" t="n"/>
      <c r="S5" s="49">
        <f>Sheet1!O36</f>
        <v/>
      </c>
    </row>
    <row r="6" ht="21.75" customHeight="1">
      <c r="A6" s="185" t="inlineStr">
        <is>
          <t>efg.;krhy ,dq.k mifLFkrh fo|kF;hZ</t>
        </is>
      </c>
      <c r="B6" s="179" t="n"/>
      <c r="C6" s="179" t="n"/>
      <c r="D6" s="180" t="n"/>
      <c r="E6" s="149">
        <f>Sheet1!KJ6</f>
        <v/>
      </c>
      <c r="F6" s="180" t="n"/>
      <c r="G6" s="157" t="inlineStr">
        <is>
          <t>vUu f'ktowu fnysys fnol</t>
        </is>
      </c>
      <c r="H6" s="186" t="n"/>
      <c r="I6" s="72">
        <f>Sheet1!O36</f>
        <v/>
      </c>
      <c r="K6" s="185" t="inlineStr">
        <is>
          <t>efg.;krhy ,dq.k mifLFkrh fo|kF;hZ</t>
        </is>
      </c>
      <c r="L6" s="179" t="n"/>
      <c r="M6" s="179" t="n"/>
      <c r="N6" s="180" t="n"/>
      <c r="O6" s="149">
        <f>Sheet1!KF6</f>
        <v/>
      </c>
      <c r="P6" s="180" t="n"/>
      <c r="Q6" s="157" t="inlineStr">
        <is>
          <t>vUu f'ktowu fnysys fnol</t>
        </is>
      </c>
      <c r="R6" s="186" t="n"/>
      <c r="S6" s="49">
        <f>Sheet1!O36</f>
        <v/>
      </c>
    </row>
    <row r="7" ht="22.5" customHeight="1">
      <c r="A7" s="187" t="inlineStr">
        <is>
          <t>rkanwG izkIr fnukad o ikorh Øekad</t>
        </is>
      </c>
      <c r="B7" s="179" t="n"/>
      <c r="C7" s="179" t="n"/>
      <c r="D7" s="180" t="n"/>
      <c r="E7" s="149" t="n"/>
      <c r="F7" s="180" t="n"/>
      <c r="G7" s="188" t="n"/>
      <c r="H7" s="189" t="n"/>
      <c r="I7" s="190" t="n"/>
      <c r="K7" s="187" t="inlineStr">
        <is>
          <t>rkanwG izkIr fnukad o ikorh Øekad</t>
        </is>
      </c>
      <c r="L7" s="179" t="n"/>
      <c r="M7" s="179" t="n"/>
      <c r="N7" s="180" t="n"/>
      <c r="O7" s="149" t="n"/>
      <c r="P7" s="180" t="n"/>
      <c r="Q7" s="188" t="n"/>
      <c r="R7" s="189" t="n"/>
      <c r="S7" s="190" t="n"/>
    </row>
    <row r="8" ht="25.5" customHeight="1">
      <c r="A8" s="187" t="inlineStr">
        <is>
          <t>/kkU;kph oLrq izkIr fnukad o ikorh Øekad</t>
        </is>
      </c>
      <c r="B8" s="179" t="n"/>
      <c r="C8" s="179" t="n"/>
      <c r="D8" s="180" t="n"/>
      <c r="E8" s="149" t="n"/>
      <c r="F8" s="180" t="n"/>
      <c r="G8" s="184" t="inlineStr">
        <is>
          <t>efguk</t>
        </is>
      </c>
      <c r="H8" s="180" t="n"/>
      <c r="I8" s="30" t="inlineStr">
        <is>
          <t>tqyS 2023</t>
        </is>
      </c>
      <c r="K8" s="187" t="inlineStr">
        <is>
          <t>/kkU;kph oLrq izkIr fnukad o ikorh Øekad</t>
        </is>
      </c>
      <c r="L8" s="179" t="n"/>
      <c r="M8" s="179" t="n"/>
      <c r="N8" s="180" t="n"/>
      <c r="O8" s="149" t="n"/>
      <c r="P8" s="180" t="n"/>
      <c r="Q8" s="184" t="inlineStr">
        <is>
          <t>efguk</t>
        </is>
      </c>
      <c r="R8" s="180" t="n"/>
      <c r="S8" s="30" t="inlineStr">
        <is>
          <t>tqyS 2023</t>
        </is>
      </c>
    </row>
    <row r="9" ht="15.75" customHeight="1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</row>
    <row r="10" ht="79.5" customHeight="1">
      <c r="A10" s="32" t="inlineStr">
        <is>
          <t>v- Ø-</t>
        </is>
      </c>
      <c r="B10" s="32" t="inlineStr">
        <is>
          <t>oLrqps uko</t>
        </is>
      </c>
      <c r="C10" s="32" t="inlineStr">
        <is>
          <t>ekfxy f'kYyd oLrw ¼fd- xzW-½</t>
        </is>
      </c>
      <c r="D10" s="32" t="inlineStr">
        <is>
          <t>pkyw efg.;kr izkIr oLrw ¼fd- xzW-½</t>
        </is>
      </c>
      <c r="E10" s="32" t="inlineStr">
        <is>
          <t>,dq.k oLrw (3+4)    ¼fd- xzW-½</t>
        </is>
      </c>
      <c r="F10" s="32" t="inlineStr">
        <is>
          <t>vUu f'ktfo.;klkBh okijysY;k oLrw ¼fd- xzW-½</t>
        </is>
      </c>
      <c r="G10" s="32" t="inlineStr">
        <is>
          <t>f'kYyd oLrw (5+6)      ¼fd- xzW-½</t>
        </is>
      </c>
      <c r="H10" s="32" t="inlineStr">
        <is>
          <t>iqBhy efg.;klkBh ekx.kh  ¼fd- xzW-½</t>
        </is>
      </c>
      <c r="I10" s="132" t="inlineStr">
        <is>
          <t xml:space="preserve"> 'ksjk</t>
        </is>
      </c>
      <c r="K10" s="32" t="inlineStr">
        <is>
          <t>v- Ø-</t>
        </is>
      </c>
      <c r="L10" s="32" t="inlineStr">
        <is>
          <t>oLrqps uko</t>
        </is>
      </c>
      <c r="M10" s="32" t="inlineStr">
        <is>
          <t>ekfxy f'kYyd oLrw ¼fd- xzW-½</t>
        </is>
      </c>
      <c r="N10" s="32" t="inlineStr">
        <is>
          <t>pkyw efg.;kr izkIr oLrw ¼fd- xzW-½</t>
        </is>
      </c>
      <c r="O10" s="32" t="inlineStr">
        <is>
          <t>,dq.k oLrw (3+4) ¼fd- xzW-½</t>
        </is>
      </c>
      <c r="P10" s="32" t="inlineStr">
        <is>
          <t>vUu f'ktfo.;klkBh okijysY;k oLrw  ¼fd- xzW-½</t>
        </is>
      </c>
      <c r="Q10" s="32" t="inlineStr">
        <is>
          <t>f'kYyd oLrw (5+6) ¼fd- xzW-½</t>
        </is>
      </c>
      <c r="R10" s="32" t="inlineStr">
        <is>
          <t>iqBhy efg.;klkBh ekx.kh  ¼fd- xzW-½</t>
        </is>
      </c>
      <c r="S10" s="132" t="inlineStr">
        <is>
          <t xml:space="preserve"> 'ksjk</t>
        </is>
      </c>
    </row>
    <row r="11">
      <c r="A11" s="34" t="n">
        <v>1</v>
      </c>
      <c r="B11" s="34" t="n">
        <v>2</v>
      </c>
      <c r="C11" s="34" t="n">
        <v>3</v>
      </c>
      <c r="D11" s="34" t="n">
        <v>4</v>
      </c>
      <c r="E11" s="34" t="n">
        <v>5</v>
      </c>
      <c r="F11" s="34" t="n">
        <v>6</v>
      </c>
      <c r="G11" s="34" t="n">
        <v>7</v>
      </c>
      <c r="H11" s="34" t="n">
        <v>8</v>
      </c>
      <c r="I11" s="34" t="n">
        <v>9</v>
      </c>
      <c r="K11" s="34" t="n">
        <v>1</v>
      </c>
      <c r="L11" s="34" t="n">
        <v>2</v>
      </c>
      <c r="M11" s="34" t="n">
        <v>3</v>
      </c>
      <c r="N11" s="34" t="n">
        <v>4</v>
      </c>
      <c r="O11" s="34" t="n">
        <v>5</v>
      </c>
      <c r="P11" s="34" t="n">
        <v>6</v>
      </c>
      <c r="Q11" s="34" t="n">
        <v>7</v>
      </c>
      <c r="R11" s="34" t="n">
        <v>8</v>
      </c>
      <c r="S11" s="34" t="n">
        <v>9</v>
      </c>
    </row>
    <row r="12" ht="24.95" customHeight="1">
      <c r="A12" s="59" t="n">
        <v>1</v>
      </c>
      <c r="B12" s="36" t="inlineStr">
        <is>
          <t>rkanqG</t>
        </is>
      </c>
      <c r="C12" s="37">
        <f>Sheet1!AC5</f>
        <v/>
      </c>
      <c r="D12" s="38">
        <f>Sheet1!KH6</f>
        <v/>
      </c>
      <c r="E12" s="38">
        <f>SUM(C12:D12)</f>
        <v/>
      </c>
      <c r="F12" s="38">
        <f>Sheet1!AH36</f>
        <v/>
      </c>
      <c r="G12" s="38">
        <f>E12-F12</f>
        <v/>
      </c>
      <c r="H12" s="38" t="n">
        <v>150</v>
      </c>
      <c r="I12" s="66" t="n"/>
      <c r="K12" s="59" t="n">
        <v>1</v>
      </c>
      <c r="L12" s="36" t="inlineStr">
        <is>
          <t>rkanqG</t>
        </is>
      </c>
      <c r="M12" s="38">
        <f>Sheet1!S5</f>
        <v/>
      </c>
      <c r="N12" s="38">
        <f>Sheet1!KD6</f>
        <v/>
      </c>
      <c r="O12" s="38">
        <f>SUM(M12:N12)</f>
        <v/>
      </c>
      <c r="P12" s="38">
        <f>Sheet1!X36</f>
        <v/>
      </c>
      <c r="Q12" s="38">
        <f>O12-P12</f>
        <v/>
      </c>
      <c r="R12" s="38" t="n">
        <v>50</v>
      </c>
      <c r="S12" s="66" t="n"/>
    </row>
    <row r="13" ht="24.95" customHeight="1">
      <c r="A13" s="59" t="n">
        <v>2</v>
      </c>
      <c r="B13" s="36" t="inlineStr">
        <is>
          <t>eVdh</t>
        </is>
      </c>
      <c r="C13" s="38">
        <f>Sheet1!#REF!</f>
        <v/>
      </c>
      <c r="D13" s="38">
        <f>Sheet1!#REF!</f>
        <v/>
      </c>
      <c r="E13" s="38">
        <f>SUM(C13:D13)</f>
        <v/>
      </c>
      <c r="F13" s="38">
        <f>Sheet1!KI7</f>
        <v/>
      </c>
      <c r="G13" s="38">
        <f>E13-F13</f>
        <v/>
      </c>
      <c r="H13" s="38" t="n">
        <v>0</v>
      </c>
      <c r="I13" s="67" t="n"/>
      <c r="K13" s="59" t="n">
        <v>2</v>
      </c>
      <c r="L13" s="36" t="inlineStr">
        <is>
          <t>eVdh</t>
        </is>
      </c>
      <c r="M13" s="38">
        <f>Sheet1!#REF!</f>
        <v/>
      </c>
      <c r="N13" s="38">
        <f>Sheet1!#REF!</f>
        <v/>
      </c>
      <c r="O13" s="38">
        <f>SUM(M13:N13)</f>
        <v/>
      </c>
      <c r="P13" s="38">
        <f>Sheet1!#REF!</f>
        <v/>
      </c>
      <c r="Q13" s="38">
        <f>O13-P13</f>
        <v/>
      </c>
      <c r="R13" s="38" t="n">
        <v>0</v>
      </c>
      <c r="S13" s="67" t="n"/>
    </row>
    <row r="14" ht="24.95" customHeight="1">
      <c r="A14" s="59" t="n">
        <v>3</v>
      </c>
      <c r="B14" s="36" t="inlineStr">
        <is>
          <t>elqjnkG</t>
        </is>
      </c>
      <c r="C14" s="38">
        <f>Sheet1!BU5</f>
        <v/>
      </c>
      <c r="D14" s="38">
        <f>Sheet1!KH8</f>
        <v/>
      </c>
      <c r="E14" s="38">
        <f>SUM(C14:D14)</f>
        <v/>
      </c>
      <c r="F14" s="38">
        <f>Sheet1!BZ36</f>
        <v/>
      </c>
      <c r="G14" s="38">
        <f>E14-F14</f>
        <v/>
      </c>
      <c r="H14" s="38" t="n">
        <v>20</v>
      </c>
      <c r="I14" s="67" t="n"/>
      <c r="K14" s="59" t="n">
        <v>3</v>
      </c>
      <c r="L14" s="36" t="inlineStr">
        <is>
          <t>elqjnkG</t>
        </is>
      </c>
      <c r="M14" s="38">
        <f>Sheet1!BK5</f>
        <v/>
      </c>
      <c r="N14" s="38">
        <f>Sheet1!KD8</f>
        <v/>
      </c>
      <c r="O14" s="38">
        <f>SUM(M14:N14)</f>
        <v/>
      </c>
      <c r="P14" s="38">
        <f>Sheet1!BP36</f>
        <v/>
      </c>
      <c r="Q14" s="38">
        <f>O14-P14</f>
        <v/>
      </c>
      <c r="R14" s="38" t="n">
        <v>5</v>
      </c>
      <c r="S14" s="67" t="n"/>
    </row>
    <row r="15" ht="24.95" customHeight="1">
      <c r="A15" s="59" t="n">
        <v>4</v>
      </c>
      <c r="B15" s="36" t="inlineStr">
        <is>
          <t>gjHkjk</t>
        </is>
      </c>
      <c r="C15" s="38">
        <f>Sheet1!CQ5</f>
        <v/>
      </c>
      <c r="D15" s="38">
        <f>Sheet1!KH9</f>
        <v/>
      </c>
      <c r="E15" s="38">
        <f>SUM(C15:D15)</f>
        <v/>
      </c>
      <c r="F15" s="38">
        <f>Sheet1!CV36</f>
        <v/>
      </c>
      <c r="G15" s="38">
        <f>E15-F15</f>
        <v/>
      </c>
      <c r="H15" s="38" t="n">
        <v>20</v>
      </c>
      <c r="I15" s="67" t="n"/>
      <c r="K15" s="59" t="n">
        <v>4</v>
      </c>
      <c r="L15" s="36" t="inlineStr">
        <is>
          <t>gjHkjk</t>
        </is>
      </c>
      <c r="M15" s="38">
        <f>Sheet1!CG5</f>
        <v/>
      </c>
      <c r="N15" s="38">
        <f>Sheet1!KD9</f>
        <v/>
      </c>
      <c r="O15" s="38">
        <f>SUM(M15:N15)</f>
        <v/>
      </c>
      <c r="P15" s="38">
        <f>Sheet1!CL36</f>
        <v/>
      </c>
      <c r="Q15" s="38">
        <f>O15-P15</f>
        <v/>
      </c>
      <c r="R15" s="38" t="n">
        <v>5</v>
      </c>
      <c r="S15" s="67" t="n"/>
    </row>
    <row r="16" ht="24.95" customHeight="1">
      <c r="A16" s="59" t="n">
        <v>5</v>
      </c>
      <c r="B16" s="36" t="inlineStr">
        <is>
          <t>okVk.kk</t>
        </is>
      </c>
      <c r="C16" s="38">
        <f>Sheet1!AY5</f>
        <v/>
      </c>
      <c r="D16" s="38">
        <f>Sheet1!KH10</f>
        <v/>
      </c>
      <c r="E16" s="38">
        <f>SUM(C16:D16)</f>
        <v/>
      </c>
      <c r="F16" s="38">
        <f>Sheet1!BD36</f>
        <v/>
      </c>
      <c r="G16" s="38">
        <f>E16-F16</f>
        <v/>
      </c>
      <c r="H16" s="38" t="n">
        <v>20</v>
      </c>
      <c r="I16" s="67" t="n"/>
      <c r="K16" s="59" t="n">
        <v>5</v>
      </c>
      <c r="L16" s="36" t="inlineStr">
        <is>
          <t>okVk.kk</t>
        </is>
      </c>
      <c r="M16" s="38">
        <f>Sheet1!AO5</f>
        <v/>
      </c>
      <c r="N16" s="38">
        <f>Sheet1!KD10</f>
        <v/>
      </c>
      <c r="O16" s="38">
        <f>SUM(M16:N16)</f>
        <v/>
      </c>
      <c r="P16" s="38">
        <f>Sheet1!AT36</f>
        <v/>
      </c>
      <c r="Q16" s="38">
        <f>O16-P16</f>
        <v/>
      </c>
      <c r="R16" s="38" t="n">
        <v>5</v>
      </c>
      <c r="S16" s="67" t="n"/>
    </row>
    <row r="17" ht="24.95" customHeight="1">
      <c r="A17" s="59" t="n">
        <v>6</v>
      </c>
      <c r="B17" s="36" t="inlineStr">
        <is>
          <t>eksgjh</t>
        </is>
      </c>
      <c r="C17" s="38">
        <f>Sheet1!DM5</f>
        <v/>
      </c>
      <c r="D17" s="38">
        <f>Sheet1!KH11</f>
        <v/>
      </c>
      <c r="E17" s="38">
        <f>SUM(C17:D17)</f>
        <v/>
      </c>
      <c r="F17" s="38">
        <f>Sheet1!DR36</f>
        <v/>
      </c>
      <c r="G17" s="38">
        <f>E17-F17</f>
        <v/>
      </c>
      <c r="H17" s="38" t="n">
        <v>6</v>
      </c>
      <c r="I17" s="67" t="n"/>
      <c r="K17" s="59" t="n">
        <v>6</v>
      </c>
      <c r="L17" s="36" t="inlineStr">
        <is>
          <t>eksgjh</t>
        </is>
      </c>
      <c r="M17" s="38">
        <f>Sheet1!DC5</f>
        <v/>
      </c>
      <c r="N17" s="38">
        <f>Sheet1!KD11</f>
        <v/>
      </c>
      <c r="O17" s="38">
        <f>SUM(M17:N17)</f>
        <v/>
      </c>
      <c r="P17" s="38">
        <f>Sheet1!DH36</f>
        <v/>
      </c>
      <c r="Q17" s="38">
        <f>O17-P17</f>
        <v/>
      </c>
      <c r="R17" s="38" t="n">
        <v>2</v>
      </c>
      <c r="S17" s="67" t="n"/>
    </row>
    <row r="18" ht="24.95" customHeight="1">
      <c r="A18" s="59" t="n">
        <v>7</v>
      </c>
      <c r="B18" s="36" t="inlineStr">
        <is>
          <t>gGn</t>
        </is>
      </c>
      <c r="C18" s="38">
        <f>Sheet1!EI5</f>
        <v/>
      </c>
      <c r="D18" s="38">
        <f>Sheet1!KH13</f>
        <v/>
      </c>
      <c r="E18" s="38">
        <f>SUM(C18:D18)</f>
        <v/>
      </c>
      <c r="F18" s="38">
        <f>Sheet1!EN36</f>
        <v/>
      </c>
      <c r="G18" s="38">
        <f>E18-F18</f>
        <v/>
      </c>
      <c r="H18" s="38" t="n">
        <v>7.5</v>
      </c>
      <c r="I18" s="67" t="n"/>
      <c r="K18" s="59" t="n">
        <v>7</v>
      </c>
      <c r="L18" s="36" t="inlineStr">
        <is>
          <t>gGn</t>
        </is>
      </c>
      <c r="M18" s="38">
        <f>Sheet1!DY5</f>
        <v/>
      </c>
      <c r="N18" s="38">
        <f>Sheet1!KD13</f>
        <v/>
      </c>
      <c r="O18" s="38">
        <f>SUM(M18:N18)</f>
        <v/>
      </c>
      <c r="P18" s="38">
        <f>Sheet1!ED36</f>
        <v/>
      </c>
      <c r="Q18" s="38">
        <f>O18-P18</f>
        <v/>
      </c>
      <c r="R18" s="38" t="n">
        <v>2.5</v>
      </c>
      <c r="S18" s="67" t="n"/>
    </row>
    <row r="19" ht="39.75" customHeight="1">
      <c r="A19" s="59" t="n">
        <v>8</v>
      </c>
      <c r="B19" s="69" t="inlineStr">
        <is>
          <t>dkank ylw.k elkyk</t>
        </is>
      </c>
      <c r="C19" s="38">
        <f>Sheet1!FE5</f>
        <v/>
      </c>
      <c r="D19" s="38">
        <f>Sheet1!KH14</f>
        <v/>
      </c>
      <c r="E19" s="38">
        <f>SUM(C19:D19)</f>
        <v/>
      </c>
      <c r="F19" s="37">
        <f>Sheet1!FJ36</f>
        <v/>
      </c>
      <c r="G19" s="38">
        <f>E19-F19</f>
        <v/>
      </c>
      <c r="H19" s="37" t="n">
        <v>10</v>
      </c>
      <c r="I19" s="67" t="n"/>
      <c r="K19" s="59" t="n">
        <v>8</v>
      </c>
      <c r="L19" s="157" t="inlineStr">
        <is>
          <t>dkank ylw.k elkyk</t>
        </is>
      </c>
      <c r="M19" s="38">
        <f>Sheet1!EU5</f>
        <v/>
      </c>
      <c r="N19" s="38">
        <f>Sheet1!KD14</f>
        <v/>
      </c>
      <c r="O19" s="38">
        <f>SUM(M19:N19)</f>
        <v/>
      </c>
      <c r="P19" s="37">
        <f>Sheet1!EZ36</f>
        <v/>
      </c>
      <c r="Q19" s="38">
        <f>O19-P19</f>
        <v/>
      </c>
      <c r="R19" s="37" t="n">
        <v>3.5</v>
      </c>
      <c r="S19" s="67" t="n"/>
    </row>
    <row r="20" ht="24.95" customHeight="1">
      <c r="A20" s="59" t="n">
        <v>9</v>
      </c>
      <c r="B20" s="36" t="inlineStr">
        <is>
          <t>ehB</t>
        </is>
      </c>
      <c r="C20" s="38">
        <f>Sheet1!GA5</f>
        <v/>
      </c>
      <c r="D20" s="38">
        <f>Sheet1!KH15</f>
        <v/>
      </c>
      <c r="E20" s="38">
        <f>SUM(C20:D20)</f>
        <v/>
      </c>
      <c r="F20" s="38">
        <f>Sheet1!GF36</f>
        <v/>
      </c>
      <c r="G20" s="38">
        <f>E20-F20</f>
        <v/>
      </c>
      <c r="H20" s="38" t="n">
        <v>10</v>
      </c>
      <c r="I20" s="67" t="n"/>
      <c r="K20" s="59" t="n">
        <v>9</v>
      </c>
      <c r="L20" s="36" t="inlineStr">
        <is>
          <t>ehB</t>
        </is>
      </c>
      <c r="M20" s="38">
        <f>Sheet1!FQ5</f>
        <v/>
      </c>
      <c r="N20" s="38">
        <f>Sheet1!KD15</f>
        <v/>
      </c>
      <c r="O20" s="38">
        <f>SUM(M20:N20)</f>
        <v/>
      </c>
      <c r="P20" s="38">
        <f>Sheet1!FV36</f>
        <v/>
      </c>
      <c r="Q20" s="38">
        <f>O20-P20</f>
        <v/>
      </c>
      <c r="R20" s="38" t="n">
        <v>3</v>
      </c>
      <c r="S20" s="67" t="n"/>
    </row>
    <row r="21" ht="24.95" customHeight="1">
      <c r="A21" s="39" t="n">
        <v>10</v>
      </c>
      <c r="B21" s="40" t="inlineStr">
        <is>
          <t>lks;k- rsy</t>
        </is>
      </c>
      <c r="C21" s="38">
        <f>Sheet1!GW5</f>
        <v/>
      </c>
      <c r="D21" s="38">
        <f>Sheet1!KH16</f>
        <v/>
      </c>
      <c r="E21" s="38">
        <f>SUM(C21:D21)</f>
        <v/>
      </c>
      <c r="F21" s="38">
        <f>Sheet1!HB36</f>
        <v/>
      </c>
      <c r="G21" s="38">
        <f>E21-F21</f>
        <v/>
      </c>
      <c r="H21" s="38" t="n">
        <v>10</v>
      </c>
      <c r="I21" s="67" t="n"/>
      <c r="K21" s="39" t="n">
        <v>10</v>
      </c>
      <c r="L21" s="40" t="inlineStr">
        <is>
          <t>lks;k- rsy</t>
        </is>
      </c>
      <c r="M21" s="38">
        <f>Sheet1!GM5</f>
        <v/>
      </c>
      <c r="N21" s="38">
        <f>Sheet1!KD16</f>
        <v/>
      </c>
      <c r="O21" s="38">
        <f>SUM(M21:N21)</f>
        <v/>
      </c>
      <c r="P21" s="38">
        <f>Sheet1!GR36</f>
        <v/>
      </c>
      <c r="Q21" s="38">
        <f>O21-P21</f>
        <v/>
      </c>
      <c r="R21" s="38" t="n">
        <v>4</v>
      </c>
      <c r="S21" s="67" t="n"/>
    </row>
    <row r="22" ht="21.75" customHeight="1">
      <c r="A22" s="39" t="n"/>
      <c r="B22" s="41" t="n"/>
      <c r="C22" s="38" t="n"/>
      <c r="D22" s="38" t="inlineStr">
        <is>
          <t>विवरण</t>
        </is>
      </c>
      <c r="E22" s="179" t="n"/>
      <c r="F22" s="180" t="n"/>
      <c r="G22" s="38" t="n"/>
      <c r="H22" s="38" t="n"/>
      <c r="I22" s="67" t="n"/>
      <c r="K22" s="39" t="n"/>
      <c r="L22" s="41" t="n"/>
      <c r="M22" s="38" t="n"/>
      <c r="N22" s="38" t="inlineStr">
        <is>
          <t>विवरण</t>
        </is>
      </c>
      <c r="O22" s="179" t="n"/>
      <c r="P22" s="180" t="n"/>
      <c r="Q22" s="38" t="n"/>
      <c r="R22" s="38" t="n"/>
      <c r="S22" s="67" t="n"/>
    </row>
    <row r="23" ht="20.25" customHeight="1">
      <c r="A23" s="39" t="n"/>
      <c r="B23" s="41" t="n"/>
      <c r="C23" s="8" t="inlineStr">
        <is>
          <t>भाजिपाला</t>
        </is>
      </c>
      <c r="D23" s="75">
        <f>E6</f>
        <v/>
      </c>
      <c r="E23" s="76">
        <f>Sheet1!HU5</f>
        <v/>
      </c>
      <c r="F23" s="42">
        <f>D23*E23</f>
        <v/>
      </c>
      <c r="G23" s="38" t="n"/>
      <c r="H23" s="38" t="n"/>
      <c r="I23" s="67" t="n"/>
      <c r="K23" s="39" t="n"/>
      <c r="L23" s="41" t="n"/>
      <c r="M23" s="8" t="inlineStr">
        <is>
          <t>भाजिपाला</t>
        </is>
      </c>
      <c r="N23" s="75">
        <f>O6</f>
        <v/>
      </c>
      <c r="O23" s="75">
        <f>Sheet1!HJ5</f>
        <v/>
      </c>
      <c r="P23" s="42">
        <f>N23*O23</f>
        <v/>
      </c>
      <c r="Q23" s="38" t="n"/>
      <c r="R23" s="38" t="n"/>
      <c r="S23" s="67" t="n"/>
    </row>
    <row r="24" ht="25.5" customHeight="1">
      <c r="A24" s="39" t="n"/>
      <c r="B24" s="41" t="n"/>
      <c r="C24" s="8" t="inlineStr">
        <is>
          <t>पुरक आहार</t>
        </is>
      </c>
      <c r="D24" s="75">
        <f>E6</f>
        <v/>
      </c>
      <c r="E24" s="76">
        <f>Sheet1!HY5</f>
        <v/>
      </c>
      <c r="F24" s="42">
        <f>D24*E24</f>
        <v/>
      </c>
      <c r="G24" s="38" t="n"/>
      <c r="H24" s="38" t="n"/>
      <c r="I24" s="67" t="n"/>
      <c r="K24" s="39" t="n"/>
      <c r="L24" s="41" t="n"/>
      <c r="M24" s="8" t="inlineStr">
        <is>
          <t>पुरक आहार</t>
        </is>
      </c>
      <c r="N24" s="75">
        <f>O6</f>
        <v/>
      </c>
      <c r="O24" s="75">
        <f>Sheet1!HN5</f>
        <v/>
      </c>
      <c r="P24" s="42">
        <f>N24*O24</f>
        <v/>
      </c>
      <c r="Q24" s="38" t="n"/>
      <c r="R24" s="38" t="n"/>
      <c r="S24" s="67" t="n"/>
    </row>
    <row r="25" ht="19.5" customHeight="1">
      <c r="A25" s="39" t="n"/>
      <c r="B25" s="41" t="n"/>
      <c r="C25" s="8" t="inlineStr">
        <is>
          <t>इंधन</t>
        </is>
      </c>
      <c r="D25" s="75">
        <f>E6</f>
        <v/>
      </c>
      <c r="E25" s="75">
        <f>Sheet1!HW5</f>
        <v/>
      </c>
      <c r="F25" s="42">
        <f>D25*E25</f>
        <v/>
      </c>
      <c r="G25" s="38" t="n"/>
      <c r="H25" s="38" t="n"/>
      <c r="I25" s="67" t="n"/>
      <c r="K25" s="39" t="n"/>
      <c r="L25" s="41" t="n"/>
      <c r="M25" s="8" t="inlineStr">
        <is>
          <t>इंधन</t>
        </is>
      </c>
      <c r="N25" s="75">
        <f>O6</f>
        <v/>
      </c>
      <c r="O25" s="75">
        <f>Sheet1!HL5</f>
        <v/>
      </c>
      <c r="P25" s="42">
        <f>N25*O25</f>
        <v/>
      </c>
      <c r="Q25" s="38" t="n"/>
      <c r="R25" s="38" t="n"/>
      <c r="S25" s="67" t="n"/>
    </row>
    <row r="26" ht="21" customHeight="1">
      <c r="A26" s="39" t="n"/>
      <c r="B26" s="41" t="n"/>
      <c r="C26" s="38" t="n"/>
      <c r="D26" s="80" t="inlineStr">
        <is>
          <t xml:space="preserve">एकुण =  </t>
        </is>
      </c>
      <c r="E26" s="82">
        <f>SUM(E23:E25)</f>
        <v/>
      </c>
      <c r="F26" s="43">
        <f>SUM(F23:F25)</f>
        <v/>
      </c>
      <c r="G26" s="38" t="n"/>
      <c r="H26" s="38" t="n"/>
      <c r="I26" s="68" t="n"/>
      <c r="K26" s="39" t="n"/>
      <c r="L26" s="41" t="n"/>
      <c r="M26" s="38" t="n"/>
      <c r="N26" s="81" t="inlineStr">
        <is>
          <t xml:space="preserve">एकुण =  </t>
        </is>
      </c>
      <c r="O26" s="82">
        <f>SUM(O23:O25)</f>
        <v/>
      </c>
      <c r="P26" s="43">
        <f>SUM(P23:P25)</f>
        <v/>
      </c>
      <c r="Q26" s="38" t="n"/>
      <c r="R26" s="38" t="n"/>
      <c r="S26" s="68" t="n"/>
    </row>
    <row r="27" ht="20.1" customHeight="1">
      <c r="A27" s="44" t="n"/>
      <c r="B27" s="44" t="inlineStr">
        <is>
          <t xml:space="preserve">ekx.kh uksanorkuk 'kkGsdMs 20 fnolkapk lkBk f'kYyd jkghy ;kph n{krk ?ksÅu ekx.kh uksanokoh] vko';drsis{kk tkLr </t>
        </is>
      </c>
      <c r="C27" s="44" t="n"/>
      <c r="D27" s="44" t="n"/>
      <c r="E27" s="44" t="n"/>
      <c r="F27" s="44" t="n"/>
      <c r="G27" s="44" t="n"/>
      <c r="H27" s="44" t="n"/>
      <c r="I27" s="44" t="n"/>
      <c r="K27" s="44" t="n"/>
      <c r="L27" s="44" t="inlineStr">
        <is>
          <t xml:space="preserve">ekx.kh uksanorkuk 'kkGsdMs 20 fnolkapk lkBk f'kYyd jkghy ;kph n{krk ?ksÅu ekx.kh uksanokoh] vko';drsis{kk tkLr </t>
        </is>
      </c>
      <c r="M27" s="44" t="n"/>
      <c r="N27" s="44" t="n"/>
      <c r="O27" s="44" t="n"/>
      <c r="P27" s="44" t="n"/>
      <c r="Q27" s="44" t="n"/>
      <c r="R27" s="44" t="n"/>
      <c r="S27" s="44" t="n"/>
    </row>
    <row r="28" ht="20.1" customHeight="1">
      <c r="A28" s="44" t="n"/>
      <c r="B28" s="44" t="inlineStr">
        <is>
          <t>lkBh d:u /kkU; [kjkc gks.kkj ukgh ;kph n{krk ?;koh-</t>
        </is>
      </c>
      <c r="C28" s="44" t="n"/>
      <c r="D28" s="44" t="n"/>
      <c r="E28" s="44" t="n"/>
      <c r="F28" s="44" t="n"/>
      <c r="G28" s="44" t="n"/>
      <c r="H28" s="44" t="n"/>
      <c r="I28" s="44" t="n"/>
      <c r="K28" s="44" t="n"/>
      <c r="L28" s="44" t="inlineStr">
        <is>
          <t>lkBh d:u /kkU; [kjkc gks.kkj ukgh ;kph n{krk ?;koh-</t>
        </is>
      </c>
      <c r="M28" s="44" t="n"/>
      <c r="N28" s="44" t="n"/>
      <c r="O28" s="44" t="n"/>
      <c r="P28" s="44" t="n"/>
      <c r="Q28" s="44" t="n"/>
      <c r="R28" s="44" t="n"/>
      <c r="S28" s="44" t="n"/>
    </row>
    <row r="29" ht="20.1" customHeight="1">
      <c r="A29" s="45" t="inlineStr">
        <is>
          <t>1½</t>
        </is>
      </c>
      <c r="B29" s="44" t="inlineStr">
        <is>
          <t xml:space="preserve">efgU;krhy ,dq.k rkVkaph la[;k - </t>
        </is>
      </c>
      <c r="C29" s="44" t="n"/>
      <c r="D29" s="78" t="n"/>
      <c r="E29" s="79">
        <f>E6</f>
        <v/>
      </c>
      <c r="F29" s="44" t="n"/>
      <c r="G29" s="44" t="n"/>
      <c r="H29" s="44" t="n"/>
      <c r="I29" s="44" t="n"/>
      <c r="K29" s="45" t="inlineStr">
        <is>
          <t>1½</t>
        </is>
      </c>
      <c r="L29" s="44" t="inlineStr">
        <is>
          <t xml:space="preserve">efgU;krhy ,dq.k rkVkaph la[;k - </t>
        </is>
      </c>
      <c r="M29" s="44" t="n"/>
      <c r="N29" s="44" t="n"/>
      <c r="O29" s="86">
        <f>O6</f>
        <v/>
      </c>
      <c r="P29" s="44" t="n"/>
      <c r="Q29" s="44" t="n"/>
      <c r="R29" s="44" t="n"/>
      <c r="S29" s="44" t="n"/>
    </row>
    <row r="30" ht="20.1" customHeight="1">
      <c r="A30" s="45" t="inlineStr">
        <is>
          <t>2½</t>
        </is>
      </c>
      <c r="B30" s="44" t="inlineStr">
        <is>
          <t xml:space="preserve">ba/ku o Hkkthikyk [kpZ dsysys vuqnku :- =            </t>
        </is>
      </c>
      <c r="C30" s="44" t="n"/>
      <c r="D30" s="44" t="n"/>
      <c r="E30" s="83">
        <f>E6</f>
        <v/>
      </c>
      <c r="F30" s="84">
        <f>E26</f>
        <v/>
      </c>
      <c r="G30" s="85">
        <f>E30*F30</f>
        <v/>
      </c>
      <c r="H30" s="44" t="inlineStr">
        <is>
          <t>¼rkVkaph la[;k ˣ nj½ ¼ 'kkluLrjko:u fuf'Pkr dssY;kuqlkj½</t>
        </is>
      </c>
      <c r="I30" s="44" t="n"/>
      <c r="K30" s="45" t="inlineStr">
        <is>
          <t>2½</t>
        </is>
      </c>
      <c r="L30" s="44" t="inlineStr">
        <is>
          <t xml:space="preserve">ba/ku o Hkkthikyk [kpZ dsysys vuqnku :- </t>
        </is>
      </c>
      <c r="M30" s="44" t="n"/>
      <c r="N30" s="44" t="n"/>
      <c r="O30" s="77">
        <f>O6</f>
        <v/>
      </c>
      <c r="P30" s="87">
        <f>O26</f>
        <v/>
      </c>
      <c r="Q30" s="88">
        <f>O30*P30</f>
        <v/>
      </c>
      <c r="R30" s="44" t="n"/>
      <c r="S30" s="44" t="n"/>
    </row>
    <row r="31" ht="20.1" customHeight="1">
      <c r="A31" s="45" t="inlineStr">
        <is>
          <t>3½</t>
        </is>
      </c>
      <c r="B31" s="44" t="inlineStr">
        <is>
          <t>Lo;aikdh rFkk enruhl eku/ku :- 1500/- (:- 1500 ˣ  useysys Lo;aikdh rFkk enruhl la[;k)</t>
        </is>
      </c>
      <c r="C31" s="44" t="n"/>
      <c r="D31" s="44" t="n"/>
      <c r="E31" s="44" t="n"/>
      <c r="F31" s="44" t="n"/>
      <c r="G31" s="44" t="n"/>
      <c r="H31" s="44" t="n"/>
      <c r="I31" s="44" t="n"/>
      <c r="K31" s="45" t="inlineStr">
        <is>
          <t>3½</t>
        </is>
      </c>
      <c r="L31" s="44" t="inlineStr">
        <is>
          <t>Lo;aikdh rFkk enruhl eku/ku :- 1500/- (:- 1500 ˣ  useysys Lo;aikdh rFkk enruhl la[;k)</t>
        </is>
      </c>
      <c r="M31" s="44" t="n"/>
      <c r="N31" s="44" t="n"/>
      <c r="O31" s="44" t="n"/>
      <c r="P31" s="44" t="n"/>
      <c r="Q31" s="44" t="n"/>
      <c r="R31" s="44" t="n"/>
      <c r="S31" s="44" t="n"/>
    </row>
    <row r="32" ht="20.1" customHeight="1">
      <c r="A32" s="44" t="n"/>
      <c r="B32" s="46" t="inlineStr">
        <is>
          <t>izekf.kr dj.;kr ;srs dh] oj ueqn dsysyh ekfgrh nSuafnu uksanogho:u ?ksrysyh vkgs- rh riklyh vkgs o cjkscj vkgs-</t>
        </is>
      </c>
      <c r="C32" s="44" t="n"/>
      <c r="D32" s="44" t="n"/>
      <c r="E32" s="44" t="n"/>
      <c r="F32" s="44" t="n"/>
      <c r="G32" s="44" t="n"/>
      <c r="H32" s="44" t="n"/>
      <c r="I32" s="44" t="n"/>
      <c r="K32" s="44" t="n"/>
      <c r="L32" s="46" t="inlineStr">
        <is>
          <t>izekf.kr dj.;kr ;srs dh] oj ueqn dsysyh ekfgrh nSuafnu uksanogho:u ?ksrysyh vkgs- rh riklyh vkgs o cjkscj vkgs-</t>
        </is>
      </c>
      <c r="M32" s="44" t="n"/>
      <c r="N32" s="44" t="n"/>
      <c r="O32" s="44" t="n"/>
      <c r="P32" s="44" t="n"/>
      <c r="Q32" s="44" t="n"/>
      <c r="R32" s="44" t="n"/>
      <c r="S32" s="44" t="n"/>
    </row>
    <row r="33" ht="8.25" customHeight="1">
      <c r="A33" s="44" t="n"/>
      <c r="B33" s="46" t="n"/>
      <c r="C33" s="44" t="n"/>
      <c r="D33" s="44" t="n"/>
      <c r="E33" s="44" t="n"/>
      <c r="F33" s="44" t="n"/>
      <c r="G33" s="44" t="n"/>
      <c r="H33" s="44" t="n"/>
      <c r="I33" s="44" t="n"/>
      <c r="K33" s="44" t="n"/>
      <c r="L33" s="46" t="n"/>
      <c r="M33" s="44" t="n"/>
      <c r="N33" s="44" t="n"/>
      <c r="O33" s="44" t="n"/>
      <c r="P33" s="44" t="n"/>
      <c r="Q33" s="44" t="n"/>
      <c r="R33" s="44" t="n"/>
      <c r="S33" s="44" t="n"/>
    </row>
    <row r="34" ht="18.75" customHeight="1">
      <c r="A34" s="47" t="n"/>
      <c r="B34" s="47" t="n"/>
      <c r="C34" s="47" t="n"/>
      <c r="D34" s="47" t="inlineStr">
        <is>
          <t xml:space="preserve">       eq[;k/;klfidk@lfpo</t>
        </is>
      </c>
      <c r="E34" s="47" t="n"/>
      <c r="F34" s="47" t="n"/>
      <c r="G34" s="48" t="inlineStr">
        <is>
          <t xml:space="preserve">            dsanz izeq[k</t>
        </is>
      </c>
      <c r="H34" s="47" t="n"/>
      <c r="I34" s="47" t="n"/>
      <c r="K34" s="47" t="n"/>
      <c r="L34" s="47" t="n"/>
      <c r="M34" s="47" t="n"/>
      <c r="N34" s="47" t="inlineStr">
        <is>
          <t xml:space="preserve">       eq[;k/;klfidk@lfpo</t>
        </is>
      </c>
      <c r="O34" s="47" t="n"/>
      <c r="P34" s="47" t="n"/>
      <c r="Q34" s="48" t="inlineStr">
        <is>
          <t xml:space="preserve">            dsanz izeq[k</t>
        </is>
      </c>
      <c r="R34" s="47" t="n"/>
      <c r="S34" s="47" t="n"/>
    </row>
    <row r="35" ht="18.75" customHeight="1">
      <c r="A35" s="47" t="n"/>
      <c r="B35" s="48" t="inlineStr">
        <is>
          <t>fnukad</t>
        </is>
      </c>
      <c r="C35" s="47" t="n"/>
      <c r="D35" s="48" t="inlineStr">
        <is>
          <t xml:space="preserve">     'kkys; O;oLFkkiu lferh</t>
        </is>
      </c>
      <c r="E35" s="47" t="n"/>
      <c r="F35" s="47" t="n"/>
      <c r="G35" s="48" t="inlineStr">
        <is>
          <t xml:space="preserve">              varksjk</t>
        </is>
      </c>
      <c r="H35" s="47" t="n"/>
      <c r="I35" s="47" t="n"/>
      <c r="K35" s="47" t="n"/>
      <c r="L35" s="48" t="inlineStr">
        <is>
          <t>fnukad</t>
        </is>
      </c>
      <c r="M35" s="47" t="n"/>
      <c r="N35" s="48" t="inlineStr">
        <is>
          <t xml:space="preserve">     'kkys; O;oLFkkiu lferh</t>
        </is>
      </c>
      <c r="O35" s="47" t="n"/>
      <c r="P35" s="47" t="n"/>
      <c r="Q35" s="48" t="inlineStr">
        <is>
          <t xml:space="preserve">              varksjk</t>
        </is>
      </c>
      <c r="R35" s="47" t="n"/>
      <c r="S35" s="47" t="n"/>
    </row>
  </sheetData>
  <mergeCells count="26">
    <mergeCell ref="O7:P7"/>
    <mergeCell ref="A5:D5"/>
    <mergeCell ref="A8:D8"/>
    <mergeCell ref="G6:H7"/>
    <mergeCell ref="O6:P6"/>
    <mergeCell ref="Q6:R7"/>
    <mergeCell ref="E5:F5"/>
    <mergeCell ref="K7:N7"/>
    <mergeCell ref="G8:H8"/>
    <mergeCell ref="E8:F8"/>
    <mergeCell ref="Q8:R8"/>
    <mergeCell ref="K6:N6"/>
    <mergeCell ref="O5:P5"/>
    <mergeCell ref="Q5:R5"/>
    <mergeCell ref="S6:S7"/>
    <mergeCell ref="K5:N5"/>
    <mergeCell ref="E6:F6"/>
    <mergeCell ref="A6:D6"/>
    <mergeCell ref="G5:H5"/>
    <mergeCell ref="A7:D7"/>
    <mergeCell ref="O8:P8"/>
    <mergeCell ref="E7:F7"/>
    <mergeCell ref="N22:P22"/>
    <mergeCell ref="D22:F22"/>
    <mergeCell ref="I6:I7"/>
    <mergeCell ref="K8:N8"/>
  </mergeCells>
  <pageMargins left="0.35" right="0.11" top="0.24" bottom="0.16" header="0.23" footer="0.16"/>
  <pageSetup orientation="portrait" paperSize="9" scale="95" verticalDpi="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tabSelected="1" workbookViewId="0">
      <selection activeCell="I8" sqref="I8"/>
    </sheetView>
  </sheetViews>
  <sheetFormatPr baseColWidth="8" defaultRowHeight="15"/>
  <cols>
    <col width="4.28515625" customWidth="1" min="1" max="1"/>
    <col width="11.85546875" customWidth="1" min="2" max="2"/>
    <col width="11.42578125" customWidth="1" min="3" max="3"/>
    <col width="11.28515625" customWidth="1" min="4" max="4"/>
    <col width="11.7109375" customWidth="1" min="5" max="5"/>
    <col width="13.42578125" customWidth="1" min="6" max="6"/>
    <col width="11.28515625" customWidth="1" min="7" max="7"/>
    <col width="12.7109375" customWidth="1" min="8" max="8"/>
    <col width="14.140625" customWidth="1" min="9" max="9"/>
  </cols>
  <sheetData>
    <row r="1" ht="31.5" customHeight="1">
      <c r="A1" s="24" t="inlineStr">
        <is>
          <t xml:space="preserve">   jk"Vªh; e/;kUg Hkkstu dk;ZØe ;kstuk izi= &amp; c (b-6 rs 8)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6.25" customHeight="1">
      <c r="A2" s="25" t="inlineStr">
        <is>
          <t xml:space="preserve">       'kkGsus dsanzizeq[kkauk njegk 1 rkj[ksi;Zar |ko;kpk vgoky ¼ 2 izrhr ½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26.25" customHeight="1">
      <c r="A3" s="26" t="inlineStr">
        <is>
          <t xml:space="preserve"> 'kkGsps uko &amp;% bafnjkckbZ dU;k fo|ky;] f'kjkGk] rk- ft- vejkorh-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 ht="23.25" customHeight="1">
      <c r="A4" s="1" t="n"/>
      <c r="B4" s="1" t="n"/>
      <c r="C4" s="27" t="n"/>
      <c r="D4" s="1" t="n"/>
      <c r="E4" s="28" t="inlineStr">
        <is>
          <t>dsanz &amp;   varksjk</t>
        </is>
      </c>
      <c r="F4" s="1" t="n"/>
      <c r="G4" s="1" t="n"/>
      <c r="H4" s="1" t="n"/>
      <c r="I4" s="1" t="n"/>
    </row>
    <row r="5" ht="21.95" customHeight="1">
      <c r="A5" s="147" t="inlineStr">
        <is>
          <t>iVlaa[;k ba 6 rs 8 oh</t>
        </is>
      </c>
      <c r="B5" s="179" t="n"/>
      <c r="C5" s="179" t="n"/>
      <c r="D5" s="179" t="n"/>
      <c r="E5" s="156" t="n">
        <v>0</v>
      </c>
      <c r="F5" s="180" t="n"/>
      <c r="G5" s="184" t="inlineStr">
        <is>
          <t>,dq.k dk;Zfnol</t>
        </is>
      </c>
      <c r="H5" s="180" t="n"/>
      <c r="I5" s="49" t="n">
        <v>24</v>
      </c>
    </row>
    <row r="6" ht="21.95" customHeight="1">
      <c r="A6" s="185" t="inlineStr">
        <is>
          <t>efg.;krhy ,dq.k mifLFkrh fo|kF;hZ</t>
        </is>
      </c>
      <c r="B6" s="179" t="n"/>
      <c r="C6" s="179" t="n"/>
      <c r="D6" s="180" t="n"/>
      <c r="E6" s="149">
        <f>Sheet2!E6</f>
        <v/>
      </c>
      <c r="F6" s="180" t="n"/>
      <c r="G6" s="157" t="inlineStr">
        <is>
          <t>vUu f'ktowu fnysys fnol</t>
        </is>
      </c>
      <c r="H6" s="186" t="n"/>
      <c r="I6" s="49" t="n">
        <v>24</v>
      </c>
    </row>
    <row r="7" ht="21.95" customHeight="1">
      <c r="A7" s="187" t="inlineStr">
        <is>
          <t>rkanwG izkIr fnukad o ikorh Øekad</t>
        </is>
      </c>
      <c r="B7" s="179" t="n"/>
      <c r="C7" s="179" t="n"/>
      <c r="D7" s="180" t="n"/>
      <c r="E7" s="191" t="n">
        <v>0</v>
      </c>
      <c r="F7" s="180" t="n"/>
      <c r="G7" s="188" t="n"/>
      <c r="H7" s="189" t="n"/>
      <c r="I7" s="190" t="n"/>
    </row>
    <row r="8" ht="21.95" customHeight="1">
      <c r="A8" s="187" t="inlineStr">
        <is>
          <t>/kkU;kph oLrq izkIr fnukad o ikorh Øekad</t>
        </is>
      </c>
      <c r="B8" s="179" t="n"/>
      <c r="C8" s="179" t="n"/>
      <c r="D8" s="180" t="n"/>
      <c r="E8" s="191" t="n">
        <v>0</v>
      </c>
      <c r="F8" s="180" t="n"/>
      <c r="G8" s="184" t="inlineStr">
        <is>
          <t>efguk</t>
        </is>
      </c>
      <c r="H8" s="180" t="n"/>
      <c r="I8" s="123" t="inlineStr">
        <is>
          <t>,fizy 2026</t>
        </is>
      </c>
    </row>
    <row r="9" ht="20.25" customHeight="1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98.25" customHeight="1">
      <c r="A10" s="32" t="inlineStr">
        <is>
          <t>v- Ø-</t>
        </is>
      </c>
      <c r="B10" s="32" t="inlineStr">
        <is>
          <t>oLrqps uko</t>
        </is>
      </c>
      <c r="C10" s="32" t="inlineStr">
        <is>
          <t>ekfxy f'kYyd oLrw ¼fd- xzW-½</t>
        </is>
      </c>
      <c r="D10" s="32" t="inlineStr">
        <is>
          <t>pkyw efg.;kr izkIr oLrw ¼fd- xzW-½</t>
        </is>
      </c>
      <c r="E10" s="32" t="inlineStr">
        <is>
          <t>,dq.k oLrw (3+4)     ¼fd- xzW-½</t>
        </is>
      </c>
      <c r="F10" s="32" t="inlineStr">
        <is>
          <t>vUu f'ktfo.;klkBh okijysY;k oLrw  ¼fd- xzW-½</t>
        </is>
      </c>
      <c r="G10" s="32" t="inlineStr">
        <is>
          <t>f'kYyd oLrw (5+6)       ¼fd- xzW-½</t>
        </is>
      </c>
      <c r="H10" s="32" t="inlineStr">
        <is>
          <t>iqBhy efg.;klkBh ekx.kh  ¼fd- xzW-½</t>
        </is>
      </c>
      <c r="I10" s="132" t="inlineStr">
        <is>
          <t xml:space="preserve"> 'ksjk</t>
        </is>
      </c>
    </row>
    <row r="11">
      <c r="A11" s="34" t="n">
        <v>1</v>
      </c>
      <c r="B11" s="34" t="n">
        <v>2</v>
      </c>
      <c r="C11" s="34" t="n">
        <v>3</v>
      </c>
      <c r="D11" s="34" t="n">
        <v>4</v>
      </c>
      <c r="E11" s="34" t="n">
        <v>5</v>
      </c>
      <c r="F11" s="34" t="n">
        <v>6</v>
      </c>
      <c r="G11" s="34" t="n">
        <v>7</v>
      </c>
      <c r="H11" s="34" t="n">
        <v>8</v>
      </c>
      <c r="I11" s="34" t="n">
        <v>9</v>
      </c>
    </row>
    <row r="12" ht="20.25" customHeight="1">
      <c r="A12" s="59" t="n">
        <v>1</v>
      </c>
      <c r="B12" s="36" t="inlineStr">
        <is>
          <t>rkanqG</t>
        </is>
      </c>
      <c r="C12" s="37">
        <f>Sheet2!C12</f>
        <v/>
      </c>
      <c r="D12" s="38">
        <f>Sheet2!D12</f>
        <v/>
      </c>
      <c r="E12" s="38">
        <f>SUM(C12:D12)</f>
        <v/>
      </c>
      <c r="F12" s="38">
        <f>Sheet2!F12</f>
        <v/>
      </c>
      <c r="G12" s="38">
        <f>E12-F12</f>
        <v/>
      </c>
      <c r="H12" s="38" t="n">
        <v>0</v>
      </c>
      <c r="I12" s="192" t="n"/>
    </row>
    <row r="13" ht="20.25" customHeight="1">
      <c r="A13" s="59" t="n">
        <v>3</v>
      </c>
      <c r="B13" s="36" t="inlineStr">
        <is>
          <t>elqjnkG</t>
        </is>
      </c>
      <c r="C13" s="38">
        <f>Sheet2!C14</f>
        <v/>
      </c>
      <c r="D13" s="38">
        <f>Sheet2!D14</f>
        <v/>
      </c>
      <c r="E13" s="38">
        <f>SUM(C13:D13)</f>
        <v/>
      </c>
      <c r="F13" s="38">
        <f>Sheet2!F14</f>
        <v/>
      </c>
      <c r="G13" s="38">
        <f>E13-F13</f>
        <v/>
      </c>
      <c r="H13" s="38" t="n">
        <v>0</v>
      </c>
      <c r="I13" s="193" t="n"/>
    </row>
    <row r="14" ht="20.25" customHeight="1">
      <c r="A14" s="59" t="n">
        <v>4</v>
      </c>
      <c r="B14" s="125" t="inlineStr">
        <is>
          <t>eVdh@poGh</t>
        </is>
      </c>
      <c r="C14" s="38">
        <f>Sheet2!C15</f>
        <v/>
      </c>
      <c r="D14" s="38">
        <f>Sheet2!D15</f>
        <v/>
      </c>
      <c r="E14" s="38">
        <f>SUM(C14:D14)</f>
        <v/>
      </c>
      <c r="F14" s="38">
        <f>Sheet2!F15</f>
        <v/>
      </c>
      <c r="G14" s="38">
        <f>E14-F14</f>
        <v/>
      </c>
      <c r="H14" s="38" t="n">
        <v>0</v>
      </c>
      <c r="I14" s="193" t="n"/>
    </row>
    <row r="15" ht="20.25" customHeight="1">
      <c r="A15" s="59" t="n">
        <v>5</v>
      </c>
      <c r="B15" s="121" t="inlineStr">
        <is>
          <t>gjcjk</t>
        </is>
      </c>
      <c r="C15" s="38">
        <f>Sheet2!C16</f>
        <v/>
      </c>
      <c r="D15" s="38">
        <f>Sheet2!D16</f>
        <v/>
      </c>
      <c r="E15" s="38">
        <f>SUM(C15:D15)</f>
        <v/>
      </c>
      <c r="F15" s="38">
        <f>Sheet2!F16</f>
        <v/>
      </c>
      <c r="G15" s="38">
        <f>E15-F15</f>
        <v/>
      </c>
      <c r="H15" s="38" t="n">
        <v>0</v>
      </c>
      <c r="I15" s="193" t="n"/>
    </row>
    <row r="16" ht="20.25" customHeight="1">
      <c r="A16" s="59" t="n">
        <v>6</v>
      </c>
      <c r="B16" s="36" t="inlineStr">
        <is>
          <t>eksgjh</t>
        </is>
      </c>
      <c r="C16" s="38">
        <f>Sheet2!C17</f>
        <v/>
      </c>
      <c r="D16" s="38">
        <f>Sheet2!D17</f>
        <v/>
      </c>
      <c r="E16" s="38">
        <f>SUM(C16:D16)</f>
        <v/>
      </c>
      <c r="F16" s="38">
        <f>Sheet2!F17</f>
        <v/>
      </c>
      <c r="G16" s="38">
        <f>E16-F16</f>
        <v/>
      </c>
      <c r="H16" s="38" t="n">
        <v>0</v>
      </c>
      <c r="I16" s="193" t="n"/>
    </row>
    <row r="17" ht="20.25" customHeight="1">
      <c r="A17" s="59" t="n">
        <v>7</v>
      </c>
      <c r="B17" s="36" t="inlineStr">
        <is>
          <t>gGn</t>
        </is>
      </c>
      <c r="C17" s="38">
        <f>Sheet2!C18</f>
        <v/>
      </c>
      <c r="D17" s="38">
        <f>Sheet2!D18</f>
        <v/>
      </c>
      <c r="E17" s="38">
        <f>SUM(C17:D17)</f>
        <v/>
      </c>
      <c r="F17" s="38">
        <f>Sheet2!F18</f>
        <v/>
      </c>
      <c r="G17" s="38">
        <f>E17-F17</f>
        <v/>
      </c>
      <c r="H17" s="38" t="n">
        <v>0</v>
      </c>
      <c r="I17" s="193" t="n"/>
    </row>
    <row r="18" ht="49.5" customHeight="1">
      <c r="A18" s="59" t="n">
        <v>8</v>
      </c>
      <c r="B18" s="90" t="inlineStr">
        <is>
          <t>dkank ylw.k elkyk</t>
        </is>
      </c>
      <c r="C18" s="38">
        <f>Sheet2!C19</f>
        <v/>
      </c>
      <c r="D18" s="38">
        <f>Sheet2!D19</f>
        <v/>
      </c>
      <c r="E18" s="38">
        <f>SUM(C18:D18)</f>
        <v/>
      </c>
      <c r="F18" s="37">
        <f>Sheet2!F19</f>
        <v/>
      </c>
      <c r="G18" s="38">
        <f>E18-F18</f>
        <v/>
      </c>
      <c r="H18" s="37" t="n">
        <v>0</v>
      </c>
      <c r="I18" s="193" t="n"/>
    </row>
    <row r="19" ht="20.25" customHeight="1">
      <c r="A19" s="59" t="n">
        <v>9</v>
      </c>
      <c r="B19" s="36" t="inlineStr">
        <is>
          <t>ehB</t>
        </is>
      </c>
      <c r="C19" s="38">
        <f>Sheet2!C20</f>
        <v/>
      </c>
      <c r="D19" s="38">
        <f>Sheet2!D20</f>
        <v/>
      </c>
      <c r="E19" s="38">
        <f>SUM(C19:D19)</f>
        <v/>
      </c>
      <c r="F19" s="38">
        <f>Sheet2!F20</f>
        <v/>
      </c>
      <c r="G19" s="38">
        <f>E19-F19</f>
        <v/>
      </c>
      <c r="H19" s="38" t="n">
        <v>0</v>
      </c>
      <c r="I19" s="193" t="n"/>
    </row>
    <row r="20" ht="20.25" customHeight="1">
      <c r="A20" s="39" t="n">
        <v>10</v>
      </c>
      <c r="B20" s="40" t="inlineStr">
        <is>
          <t>lks;k- rsy</t>
        </is>
      </c>
      <c r="C20" s="38">
        <f>Sheet2!C21</f>
        <v/>
      </c>
      <c r="D20" s="38">
        <f>Sheet2!D21</f>
        <v/>
      </c>
      <c r="E20" s="38">
        <f>SUM(C20:D20)</f>
        <v/>
      </c>
      <c r="F20" s="38">
        <f>Sheet2!F21</f>
        <v/>
      </c>
      <c r="G20" s="38">
        <f>E20-F20</f>
        <v/>
      </c>
      <c r="H20" s="38" t="n">
        <v>0</v>
      </c>
      <c r="I20" s="193" t="n"/>
    </row>
    <row r="21" ht="20.25" customHeight="1">
      <c r="A21" s="39" t="n"/>
      <c r="B21" s="41" t="n"/>
      <c r="C21" s="38" t="n"/>
      <c r="D21" s="38" t="inlineStr">
        <is>
          <t>विवरण</t>
        </is>
      </c>
      <c r="E21" s="179" t="n"/>
      <c r="F21" s="180" t="n"/>
      <c r="G21" s="38" t="n"/>
      <c r="H21" s="38" t="n"/>
      <c r="I21" s="193" t="n"/>
    </row>
    <row r="22" ht="20.25" customHeight="1">
      <c r="A22" s="39" t="n"/>
      <c r="B22" s="41" t="n"/>
      <c r="C22" s="8" t="inlineStr">
        <is>
          <t>भाजिपाला</t>
        </is>
      </c>
      <c r="D22" s="91">
        <f>Sheet2!D23</f>
        <v/>
      </c>
      <c r="E22" s="82">
        <f>Sheet2!E23</f>
        <v/>
      </c>
      <c r="F22" s="42">
        <f>Sheet2!F23</f>
        <v/>
      </c>
      <c r="G22" s="38" t="n"/>
      <c r="H22" s="38" t="n"/>
      <c r="I22" s="193" t="n"/>
    </row>
    <row r="23" ht="20.25" customHeight="1">
      <c r="A23" s="39" t="n"/>
      <c r="B23" s="41" t="n"/>
      <c r="C23" s="8" t="inlineStr">
        <is>
          <t>पुरक आहार</t>
        </is>
      </c>
      <c r="D23" s="91">
        <f>Sheet2!D24</f>
        <v/>
      </c>
      <c r="E23" s="82">
        <f>Sheet2!E24</f>
        <v/>
      </c>
      <c r="F23" s="42">
        <f>Sheet2!F24</f>
        <v/>
      </c>
      <c r="G23" s="38" t="n"/>
      <c r="H23" s="38" t="n"/>
      <c r="I23" s="193" t="n"/>
    </row>
    <row r="24" ht="20.25" customHeight="1">
      <c r="A24" s="39" t="n"/>
      <c r="B24" s="41" t="n"/>
      <c r="C24" s="8" t="inlineStr">
        <is>
          <t>इंधन</t>
        </is>
      </c>
      <c r="D24" s="91">
        <f>Sheet2!D25</f>
        <v/>
      </c>
      <c r="E24" s="82">
        <f>Sheet2!E25</f>
        <v/>
      </c>
      <c r="F24" s="42">
        <f>Sheet2!F25</f>
        <v/>
      </c>
      <c r="G24" s="38" t="n"/>
      <c r="H24" s="38" t="n"/>
      <c r="I24" s="193" t="n"/>
    </row>
    <row r="25" ht="25.5" customHeight="1">
      <c r="A25" s="39" t="n"/>
      <c r="B25" s="41" t="n"/>
      <c r="C25" s="38" t="n"/>
      <c r="D25" s="100" t="inlineStr">
        <is>
          <t xml:space="preserve">एकुण =  </t>
        </is>
      </c>
      <c r="E25" s="92">
        <f>Sheet2!E26</f>
        <v/>
      </c>
      <c r="F25" s="43">
        <f>Sheet2!F26</f>
        <v/>
      </c>
      <c r="G25" s="38" t="n"/>
      <c r="H25" s="38" t="n"/>
      <c r="I25" s="190" t="n"/>
    </row>
    <row r="26" ht="18.75" customHeight="1">
      <c r="A26" s="44" t="n"/>
      <c r="B26" s="44" t="inlineStr">
        <is>
          <t xml:space="preserve">ekx.kh uksanorkuk 'kkGsdMs ohl fnolkapk lkBk f'kYyd jkghy ;kph n{krk ?ksÅu ekx.kh uksanokoh] vko';drsis{kk tkLr </t>
        </is>
      </c>
      <c r="C26" s="44" t="n"/>
      <c r="D26" s="44" t="n"/>
      <c r="E26" s="44" t="n"/>
      <c r="F26" s="44" t="n"/>
      <c r="G26" s="44" t="n"/>
      <c r="H26" s="44" t="n"/>
      <c r="I26" s="44" t="n"/>
    </row>
    <row r="27" ht="18.75" customHeight="1">
      <c r="A27" s="44" t="n"/>
      <c r="B27" s="44" t="inlineStr">
        <is>
          <t>lkBh d:u /kkU; [kjkc gks.kkj ukgh ;kph n{krk ?;koh-</t>
        </is>
      </c>
      <c r="C27" s="44" t="n"/>
      <c r="D27" s="44" t="n"/>
      <c r="E27" s="44" t="n"/>
      <c r="F27" s="44" t="n"/>
      <c r="G27" s="44" t="n"/>
      <c r="H27" s="44" t="n"/>
      <c r="I27" s="44" t="n"/>
    </row>
    <row r="28" ht="18.75" customHeight="1">
      <c r="A28" s="45" t="inlineStr">
        <is>
          <t xml:space="preserve">1½ </t>
        </is>
      </c>
      <c r="B28" s="44" t="inlineStr">
        <is>
          <t xml:space="preserve">efgU;krhy ,dq.k rkVkaph la[;k - </t>
        </is>
      </c>
      <c r="C28" s="44" t="n"/>
      <c r="D28" s="44" t="n"/>
      <c r="E28" s="59">
        <f>Sheet2!E29</f>
        <v/>
      </c>
      <c r="F28" s="93" t="n"/>
      <c r="G28" s="93" t="n"/>
      <c r="H28" s="44" t="n"/>
      <c r="I28" s="44" t="n"/>
    </row>
    <row r="29" ht="18.75" customHeight="1">
      <c r="A29" s="45" t="inlineStr">
        <is>
          <t xml:space="preserve">2½ </t>
        </is>
      </c>
      <c r="B29" s="44" t="inlineStr">
        <is>
          <t xml:space="preserve"> ba/ku o Hkkthikyk [kpZ dsysys vuqnku :-  </t>
        </is>
      </c>
      <c r="C29" s="44" t="n"/>
      <c r="D29" s="44" t="n"/>
      <c r="E29" s="59">
        <f>Sheet2!E30</f>
        <v/>
      </c>
      <c r="F29" s="94">
        <f>Sheet2!F30</f>
        <v/>
      </c>
      <c r="G29" s="96">
        <f>Sheet2!G30</f>
        <v/>
      </c>
      <c r="H29" s="95" t="inlineStr">
        <is>
          <t xml:space="preserve"> ¼rkVkaph la[;k ˣ nj½ </t>
        </is>
      </c>
      <c r="I29" s="44" t="n"/>
    </row>
    <row r="30" ht="18" customHeight="1">
      <c r="A30" s="45" t="n"/>
      <c r="B30" s="44" t="inlineStr">
        <is>
          <t xml:space="preserve">                                                            ¼ 'kkluLrjko:u fuf'Pkr dssY;kuqlkj ½</t>
        </is>
      </c>
      <c r="C30" s="44" t="n"/>
      <c r="D30" s="44" t="n"/>
      <c r="E30" s="97" t="n"/>
      <c r="F30" s="98" t="n"/>
      <c r="G30" s="99" t="n"/>
      <c r="H30" s="95" t="n"/>
      <c r="I30" s="44" t="n"/>
    </row>
    <row r="31" ht="20.25" customHeight="1">
      <c r="A31" s="45" t="inlineStr">
        <is>
          <t xml:space="preserve">3½ </t>
        </is>
      </c>
      <c r="B31" s="44" t="inlineStr">
        <is>
          <t>Lo;aikdh rFkk enruhl eku/ku :- 2500/- (:- 2500 ˣ  useysys Lo;aikdh rFkk enruhl la[;k)</t>
        </is>
      </c>
      <c r="C31" s="44" t="n"/>
      <c r="D31" s="44" t="n"/>
      <c r="E31" s="44" t="n"/>
      <c r="F31" s="44" t="n"/>
      <c r="G31" s="44" t="n"/>
      <c r="H31" s="44" t="n"/>
      <c r="I31" s="44" t="n"/>
    </row>
    <row r="32" ht="18.75" customHeight="1">
      <c r="A32" s="44" t="n"/>
      <c r="B32" s="46" t="inlineStr">
        <is>
          <t>izekf.kr dj.;kr ;srs dh] oj ueqn dsysyh ekfgrh nSuafnu uksanogho:u ?ksrysyh vkgs- rh riklyh vkgs o cjkscj vkgs-</t>
        </is>
      </c>
      <c r="C32" s="44" t="n"/>
      <c r="D32" s="44" t="n"/>
      <c r="E32" s="44" t="n"/>
      <c r="F32" s="44" t="n"/>
      <c r="G32" s="44" t="n"/>
      <c r="H32" s="44" t="n"/>
      <c r="I32" s="44" t="n"/>
    </row>
    <row r="33" ht="18.75" customHeight="1">
      <c r="A33" s="44" t="n"/>
      <c r="B33" s="46" t="n"/>
      <c r="C33" s="44" t="n"/>
      <c r="D33" s="44" t="n"/>
      <c r="E33" s="44" t="n"/>
      <c r="F33" s="44" t="n"/>
      <c r="G33" s="44" t="n"/>
      <c r="H33" s="44" t="n"/>
      <c r="I33" s="44" t="n"/>
    </row>
    <row r="34" ht="18.75" customHeight="1">
      <c r="A34" s="47" t="n"/>
      <c r="B34" s="47" t="n"/>
      <c r="C34" s="47" t="n"/>
      <c r="D34" s="47" t="inlineStr">
        <is>
          <t xml:space="preserve">       eq[;k/;klfidk@lfpo</t>
        </is>
      </c>
      <c r="E34" s="47" t="n"/>
      <c r="F34" s="47" t="n"/>
      <c r="G34" s="48" t="inlineStr">
        <is>
          <t xml:space="preserve">            dsanz izeq[k</t>
        </is>
      </c>
      <c r="H34" s="47" t="n"/>
      <c r="I34" s="47" t="n"/>
    </row>
    <row r="35" ht="18.75" customHeight="1">
      <c r="A35" s="47" t="n"/>
      <c r="B35" s="48" t="inlineStr">
        <is>
          <t>fnukad</t>
        </is>
      </c>
      <c r="C35" s="120" t="inlineStr">
        <is>
          <t>30-04-2026</t>
        </is>
      </c>
      <c r="D35" s="48" t="inlineStr">
        <is>
          <t xml:space="preserve">     'kkys; O;oLFkkiu lferh</t>
        </is>
      </c>
      <c r="E35" s="47" t="n"/>
      <c r="F35" s="47" t="n"/>
      <c r="G35" s="48" t="inlineStr">
        <is>
          <t xml:space="preserve">              varksjk</t>
        </is>
      </c>
      <c r="H35" s="47" t="n"/>
      <c r="I35" s="47" t="n"/>
    </row>
    <row r="40" ht="18.75" customHeight="1">
      <c r="A40" s="44" t="n"/>
    </row>
  </sheetData>
  <mergeCells count="14">
    <mergeCell ref="D21:F21"/>
    <mergeCell ref="A5:D5"/>
    <mergeCell ref="E6:F6"/>
    <mergeCell ref="A8:D8"/>
    <mergeCell ref="A6:D6"/>
    <mergeCell ref="E7:F7"/>
    <mergeCell ref="G6:H7"/>
    <mergeCell ref="G5:H5"/>
    <mergeCell ref="E5:F5"/>
    <mergeCell ref="I12:I25"/>
    <mergeCell ref="I6:I7"/>
    <mergeCell ref="A7:D7"/>
    <mergeCell ref="G8:H8"/>
    <mergeCell ref="E8:F8"/>
  </mergeCells>
  <pageMargins left="0.36" right="0.11" top="0.31" bottom="0.16" header="0.3" footer="0.19"/>
  <pageSetup orientation="portrait" paperSize="9" scale="95" verticalDpi="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G6" sqref="G6:H7"/>
    </sheetView>
  </sheetViews>
  <sheetFormatPr baseColWidth="8" defaultRowHeight="15"/>
  <cols>
    <col width="4.140625" customWidth="1" min="1" max="1"/>
    <col width="12" customWidth="1" min="2" max="3"/>
    <col width="13.28515625" customWidth="1" min="4" max="4"/>
    <col width="11.140625" customWidth="1" min="5" max="5"/>
    <col width="13.42578125" customWidth="1" min="6" max="6"/>
    <col width="11.42578125" customWidth="1" min="7" max="7"/>
    <col width="10.28515625" customWidth="1" min="8" max="8"/>
    <col width="14.42578125" customWidth="1" min="9" max="9"/>
  </cols>
  <sheetData>
    <row r="1" ht="31.5" customHeight="1">
      <c r="A1" s="24" t="inlineStr">
        <is>
          <t xml:space="preserve">        'kkys; iks"k.k vkgkj ;kstuk izi= &amp; c (b- 5 oh)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6.25" customHeight="1">
      <c r="A2" s="25" t="inlineStr">
        <is>
          <t xml:space="preserve">       'kkGsus dsanzizeq[kkauk njegk 1 rkj[ksi;Zar |ko;kpk vgoky ¼ 2 izrhr ½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26.25" customHeight="1">
      <c r="A3" s="26" t="inlineStr">
        <is>
          <t xml:space="preserve"> 'kkGsps uko &amp;% bafnjkckbZ dU;k fo|ky;] f'kjkGk] rk- ft- vejkorh-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 ht="23.25" customHeight="1">
      <c r="A4" s="1" t="n"/>
      <c r="B4" s="1" t="n"/>
      <c r="C4" s="27" t="n"/>
      <c r="D4" s="1" t="n"/>
      <c r="E4" s="28" t="inlineStr">
        <is>
          <t>dsanz &amp;   varksjk</t>
        </is>
      </c>
      <c r="F4" s="1" t="n"/>
      <c r="G4" s="1" t="n"/>
      <c r="H4" s="1" t="n"/>
      <c r="I4" s="1" t="n"/>
    </row>
    <row r="5" ht="21.95" customHeight="1">
      <c r="A5" s="147" t="inlineStr">
        <is>
          <t>iVlaa[;k b;Rrk 5 oh</t>
        </is>
      </c>
      <c r="B5" s="179" t="n"/>
      <c r="C5" s="179" t="n"/>
      <c r="D5" s="179" t="n"/>
      <c r="E5" s="156" t="n">
        <v>0</v>
      </c>
      <c r="F5" s="180" t="n"/>
      <c r="G5" s="184" t="inlineStr">
        <is>
          <t>,dq.k dk;Zfnol</t>
        </is>
      </c>
      <c r="H5" s="180" t="n"/>
      <c r="I5" s="49" t="n">
        <v>24</v>
      </c>
    </row>
    <row r="6" ht="21.95" customHeight="1">
      <c r="A6" s="185" t="inlineStr">
        <is>
          <t>efg.;krhy ,dq.k mifLFkrh fo|kF;hZ</t>
        </is>
      </c>
      <c r="B6" s="179" t="n"/>
      <c r="C6" s="179" t="n"/>
      <c r="D6" s="180" t="n"/>
      <c r="E6" s="149">
        <f>Sheet2!O6</f>
        <v/>
      </c>
      <c r="F6" s="180" t="n"/>
      <c r="G6" s="157" t="inlineStr">
        <is>
          <t>vUu f'ktowu fnysys fnol</t>
        </is>
      </c>
      <c r="H6" s="186" t="n"/>
      <c r="I6" s="49" t="n">
        <v>24</v>
      </c>
    </row>
    <row r="7" ht="21.95" customHeight="1">
      <c r="A7" s="187" t="inlineStr">
        <is>
          <t>rkanwG izkIr fnukad o ikorh Øekad</t>
        </is>
      </c>
      <c r="B7" s="179" t="n"/>
      <c r="C7" s="179" t="n"/>
      <c r="D7" s="180" t="n"/>
      <c r="E7" s="60" t="n">
        <v>0</v>
      </c>
      <c r="F7" s="180" t="n"/>
      <c r="G7" s="188" t="n"/>
      <c r="H7" s="189" t="n"/>
      <c r="I7" s="190" t="n"/>
    </row>
    <row r="8" ht="21.95" customHeight="1">
      <c r="A8" s="187" t="inlineStr">
        <is>
          <t>/kkU;kph oLrq izkIr fnukad o ikorh Øekad</t>
        </is>
      </c>
      <c r="B8" s="179" t="n"/>
      <c r="C8" s="179" t="n"/>
      <c r="D8" s="180" t="n"/>
      <c r="E8" s="60" t="n">
        <v>0</v>
      </c>
      <c r="F8" s="180" t="n"/>
      <c r="G8" s="184" t="inlineStr">
        <is>
          <t>efguk</t>
        </is>
      </c>
      <c r="H8" s="180" t="n"/>
      <c r="I8" s="123" t="inlineStr">
        <is>
          <t>,fizy 2026</t>
        </is>
      </c>
    </row>
    <row r="9" ht="20.25" customHeight="1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 ht="97.5" customHeight="1">
      <c r="A10" s="32" t="inlineStr">
        <is>
          <t>v- Ø-</t>
        </is>
      </c>
      <c r="B10" s="32" t="inlineStr">
        <is>
          <t>oLrqps uko</t>
        </is>
      </c>
      <c r="C10" s="32" t="inlineStr">
        <is>
          <t>ekfxy f'kYyd oLrw      ¼fd- xzW-½</t>
        </is>
      </c>
      <c r="D10" s="32" t="inlineStr">
        <is>
          <t>pkyw efg.;kr izkIr oLrw    ¼fd- xzW-½</t>
        </is>
      </c>
      <c r="E10" s="32" t="inlineStr">
        <is>
          <t>,dq.k oLrw (3+4) ¼fd- xzW-½</t>
        </is>
      </c>
      <c r="F10" s="32" t="inlineStr">
        <is>
          <t>vUu f'ktfo.;klkBh okijysY;k oLrw ¼fd- xzW-½</t>
        </is>
      </c>
      <c r="G10" s="32" t="inlineStr">
        <is>
          <t>f'kYyd oLrw (5+6)     ¼fd- xzW-½</t>
        </is>
      </c>
      <c r="H10" s="32" t="inlineStr">
        <is>
          <t>iqBhy efg.;klkBh ekx.kh  ¼fd- xzW-½</t>
        </is>
      </c>
      <c r="I10" s="132" t="inlineStr">
        <is>
          <t xml:space="preserve"> 'ksjk</t>
        </is>
      </c>
    </row>
    <row r="11">
      <c r="A11" s="34" t="n">
        <v>1</v>
      </c>
      <c r="B11" s="34" t="n">
        <v>2</v>
      </c>
      <c r="C11" s="34" t="n">
        <v>3</v>
      </c>
      <c r="D11" s="34" t="n">
        <v>4</v>
      </c>
      <c r="E11" s="34" t="n">
        <v>5</v>
      </c>
      <c r="F11" s="34" t="n">
        <v>6</v>
      </c>
      <c r="G11" s="34" t="n">
        <v>7</v>
      </c>
      <c r="H11" s="34" t="n">
        <v>8</v>
      </c>
      <c r="I11" s="34" t="n">
        <v>9</v>
      </c>
    </row>
    <row r="12" ht="20.25" customHeight="1">
      <c r="A12" s="59" t="n">
        <v>1</v>
      </c>
      <c r="B12" s="121" t="inlineStr">
        <is>
          <t>rkanqG</t>
        </is>
      </c>
      <c r="C12" s="38">
        <f>Sheet2!M12</f>
        <v/>
      </c>
      <c r="D12" s="38">
        <f>Sheet2!N12</f>
        <v/>
      </c>
      <c r="E12" s="38">
        <f>SUM(C12:D12)</f>
        <v/>
      </c>
      <c r="F12" s="38">
        <f>Sheet2!P12</f>
        <v/>
      </c>
      <c r="G12" s="38">
        <f>E12-F12</f>
        <v/>
      </c>
      <c r="H12" s="38" t="n">
        <v>0</v>
      </c>
      <c r="I12" s="194" t="n"/>
    </row>
    <row r="13" ht="20.25" customHeight="1">
      <c r="A13" s="59" t="n">
        <v>3</v>
      </c>
      <c r="B13" s="121" t="inlineStr">
        <is>
          <t>elqjnkG</t>
        </is>
      </c>
      <c r="C13" s="38">
        <f>Sheet2!M14</f>
        <v/>
      </c>
      <c r="D13" s="38">
        <f>Sheet2!N14</f>
        <v/>
      </c>
      <c r="E13" s="38">
        <f>SUM(C13:D13)</f>
        <v/>
      </c>
      <c r="F13" s="38">
        <f>Sheet2!P14</f>
        <v/>
      </c>
      <c r="G13" s="38">
        <f>E13-F13</f>
        <v/>
      </c>
      <c r="H13" s="38" t="n">
        <v>0</v>
      </c>
      <c r="I13" s="193" t="n"/>
    </row>
    <row r="14" ht="31.5" customHeight="1">
      <c r="A14" s="59" t="n">
        <v>4</v>
      </c>
      <c r="B14" s="126" t="inlineStr">
        <is>
          <t>eVdh @poGh</t>
        </is>
      </c>
      <c r="C14" s="38">
        <f>Sheet2!M15</f>
        <v/>
      </c>
      <c r="D14" s="38">
        <f>Sheet2!N15</f>
        <v/>
      </c>
      <c r="E14" s="38">
        <f>SUM(C14:D14)</f>
        <v/>
      </c>
      <c r="F14" s="38">
        <f>Sheet2!P15</f>
        <v/>
      </c>
      <c r="G14" s="38">
        <f>E14-F14</f>
        <v/>
      </c>
      <c r="H14" s="38" t="n">
        <v>0</v>
      </c>
      <c r="I14" s="193" t="n"/>
    </row>
    <row r="15" ht="20.25" customHeight="1">
      <c r="A15" s="59" t="n">
        <v>5</v>
      </c>
      <c r="B15" s="121" t="inlineStr">
        <is>
          <t>gjcjk</t>
        </is>
      </c>
      <c r="C15" s="38">
        <f>Sheet2!M16</f>
        <v/>
      </c>
      <c r="D15" s="38">
        <f>Sheet2!N16</f>
        <v/>
      </c>
      <c r="E15" s="38">
        <f>SUM(C15:D15)</f>
        <v/>
      </c>
      <c r="F15" s="38">
        <f>Sheet2!P16</f>
        <v/>
      </c>
      <c r="G15" s="38">
        <f>E15-F15</f>
        <v/>
      </c>
      <c r="H15" s="38" t="n">
        <v>0</v>
      </c>
      <c r="I15" s="193" t="n"/>
    </row>
    <row r="16" ht="20.25" customHeight="1">
      <c r="A16" s="59" t="n">
        <v>6</v>
      </c>
      <c r="B16" s="121" t="inlineStr">
        <is>
          <t>eksgjh</t>
        </is>
      </c>
      <c r="C16" s="38">
        <f>Sheet2!M17</f>
        <v/>
      </c>
      <c r="D16" s="38">
        <f>Sheet2!N17</f>
        <v/>
      </c>
      <c r="E16" s="38">
        <f>SUM(C16:D16)</f>
        <v/>
      </c>
      <c r="F16" s="38">
        <f>Sheet2!P17</f>
        <v/>
      </c>
      <c r="G16" s="38">
        <f>E16-F16</f>
        <v/>
      </c>
      <c r="H16" s="38" t="n">
        <v>0</v>
      </c>
      <c r="I16" s="193" t="n"/>
    </row>
    <row r="17" ht="20.25" customHeight="1">
      <c r="A17" s="59" t="n">
        <v>7</v>
      </c>
      <c r="B17" s="121" t="inlineStr">
        <is>
          <t>gGn</t>
        </is>
      </c>
      <c r="C17" s="38">
        <f>Sheet2!M18</f>
        <v/>
      </c>
      <c r="D17" s="38">
        <f>Sheet2!N18</f>
        <v/>
      </c>
      <c r="E17" s="38">
        <f>SUM(C17:D17)</f>
        <v/>
      </c>
      <c r="F17" s="38">
        <f>Sheet2!P18</f>
        <v/>
      </c>
      <c r="G17" s="38">
        <f>E17-F17</f>
        <v/>
      </c>
      <c r="H17" s="38" t="n">
        <v>0</v>
      </c>
      <c r="I17" s="193" t="n"/>
    </row>
    <row r="18" ht="40.5" customHeight="1">
      <c r="A18" s="59" t="n">
        <v>8</v>
      </c>
      <c r="B18" s="62" t="inlineStr">
        <is>
          <t>dkank ylw.k elkyk</t>
        </is>
      </c>
      <c r="C18" s="38">
        <f>Sheet2!M19</f>
        <v/>
      </c>
      <c r="D18" s="38">
        <f>Sheet2!N19</f>
        <v/>
      </c>
      <c r="E18" s="38">
        <f>SUM(C18:D18)</f>
        <v/>
      </c>
      <c r="F18" s="37">
        <f>Sheet2!P19</f>
        <v/>
      </c>
      <c r="G18" s="38">
        <f>E18-F18</f>
        <v/>
      </c>
      <c r="H18" s="37" t="n">
        <v>0</v>
      </c>
      <c r="I18" s="193" t="n"/>
    </row>
    <row r="19" ht="20.25" customHeight="1">
      <c r="A19" s="59" t="n">
        <v>9</v>
      </c>
      <c r="B19" s="36" t="inlineStr">
        <is>
          <t>ehB</t>
        </is>
      </c>
      <c r="C19" s="38">
        <f>Sheet2!M20</f>
        <v/>
      </c>
      <c r="D19" s="38">
        <f>Sheet2!N20</f>
        <v/>
      </c>
      <c r="E19" s="38">
        <f>SUM(C19:D19)</f>
        <v/>
      </c>
      <c r="F19" s="38">
        <f>Sheet2!P20</f>
        <v/>
      </c>
      <c r="G19" s="38">
        <f>E19-F19</f>
        <v/>
      </c>
      <c r="H19" s="38" t="n">
        <v>0</v>
      </c>
      <c r="I19" s="193" t="n"/>
    </row>
    <row r="20" ht="20.25" customHeight="1">
      <c r="A20" s="39" t="n">
        <v>10</v>
      </c>
      <c r="B20" s="40" t="inlineStr">
        <is>
          <t>lks;k- rsy</t>
        </is>
      </c>
      <c r="C20" s="38">
        <f>Sheet2!M21</f>
        <v/>
      </c>
      <c r="D20" s="38">
        <f>Sheet2!N21</f>
        <v/>
      </c>
      <c r="E20" s="38">
        <f>SUM(C20:D20)</f>
        <v/>
      </c>
      <c r="F20" s="38">
        <f>Sheet2!P21</f>
        <v/>
      </c>
      <c r="G20" s="38">
        <f>E20-F20</f>
        <v/>
      </c>
      <c r="H20" s="38" t="n">
        <v>0</v>
      </c>
      <c r="I20" s="193" t="n"/>
    </row>
    <row r="21" ht="20.25" customHeight="1">
      <c r="A21" s="39" t="n"/>
      <c r="B21" s="41" t="n"/>
      <c r="C21" s="38" t="n"/>
      <c r="D21" s="38" t="inlineStr">
        <is>
          <t>विवरण</t>
        </is>
      </c>
      <c r="E21" s="179" t="n"/>
      <c r="F21" s="180" t="n"/>
      <c r="G21" s="38" t="n"/>
      <c r="H21" s="38" t="n"/>
      <c r="I21" s="193" t="n"/>
    </row>
    <row r="22" ht="20.25" customHeight="1">
      <c r="A22" s="39" t="n"/>
      <c r="B22" s="41" t="n"/>
      <c r="C22" s="8" t="inlineStr">
        <is>
          <t>भाजिपाला</t>
        </is>
      </c>
      <c r="D22" s="91">
        <f>Sheet2!N23</f>
        <v/>
      </c>
      <c r="E22" s="91">
        <f>Sheet2!O23</f>
        <v/>
      </c>
      <c r="F22" s="42">
        <f>Sheet2!P23</f>
        <v/>
      </c>
      <c r="G22" s="38" t="n"/>
      <c r="H22" s="38" t="n"/>
      <c r="I22" s="193" t="n"/>
    </row>
    <row r="23" ht="20.25" customHeight="1">
      <c r="A23" s="39" t="n"/>
      <c r="B23" s="41" t="n"/>
      <c r="C23" s="8" t="inlineStr">
        <is>
          <t>पुरक आहार</t>
        </is>
      </c>
      <c r="D23" s="91">
        <f>Sheet2!N24</f>
        <v/>
      </c>
      <c r="E23" s="91">
        <f>Sheet2!O24</f>
        <v/>
      </c>
      <c r="F23" s="42">
        <f>Sheet2!P24</f>
        <v/>
      </c>
      <c r="G23" s="38" t="n"/>
      <c r="H23" s="38" t="n"/>
      <c r="I23" s="193" t="n"/>
    </row>
    <row r="24" ht="20.25" customHeight="1">
      <c r="A24" s="39" t="n"/>
      <c r="B24" s="41" t="n"/>
      <c r="C24" s="8" t="inlineStr">
        <is>
          <t>इंधन</t>
        </is>
      </c>
      <c r="D24" s="91">
        <f>Sheet2!N25</f>
        <v/>
      </c>
      <c r="E24" s="91">
        <f>Sheet2!O25</f>
        <v/>
      </c>
      <c r="F24" s="42">
        <f>Sheet2!P25</f>
        <v/>
      </c>
      <c r="G24" s="38" t="n"/>
      <c r="H24" s="38" t="n"/>
      <c r="I24" s="193" t="n"/>
    </row>
    <row r="25" ht="20.25" customHeight="1">
      <c r="A25" s="39" t="n"/>
      <c r="B25" s="41" t="n"/>
      <c r="C25" s="38" t="n"/>
      <c r="D25" s="102" t="inlineStr">
        <is>
          <t xml:space="preserve">एकुण =  </t>
        </is>
      </c>
      <c r="E25" s="91">
        <f>SUM(E22:E24)</f>
        <v/>
      </c>
      <c r="F25" s="43">
        <f>SUM(F22:F24)</f>
        <v/>
      </c>
      <c r="G25" s="38" t="n"/>
      <c r="H25" s="38" t="n"/>
      <c r="I25" s="190" t="n"/>
    </row>
    <row r="26" ht="18.75" customHeight="1">
      <c r="A26" s="44" t="n"/>
      <c r="B26" s="44" t="inlineStr">
        <is>
          <t xml:space="preserve">ekx.kh uksanorkuk 'kkGsdMs ohl fnolkapk lkBk f'kYyd jkghy ;kph n{krk ?ksÅu ekx.kh uksanokoh] vko';drsis{kk tkLr </t>
        </is>
      </c>
      <c r="C26" s="44" t="n"/>
      <c r="D26" s="44" t="n"/>
      <c r="E26" s="44" t="n"/>
      <c r="F26" s="44" t="n"/>
      <c r="G26" s="44" t="n"/>
      <c r="H26" s="44" t="n"/>
      <c r="I26" s="44" t="n"/>
    </row>
    <row r="27" ht="18.75" customHeight="1">
      <c r="A27" s="44" t="n"/>
      <c r="B27" s="44" t="inlineStr">
        <is>
          <t>lkBh d:u /kkU; [kjkc gks.kkj ukgh ;kph n{krk ?;koh-</t>
        </is>
      </c>
      <c r="C27" s="44" t="n"/>
      <c r="D27" s="44" t="n"/>
      <c r="E27" s="44" t="n"/>
      <c r="F27" s="44" t="n"/>
      <c r="G27" s="44" t="n"/>
      <c r="H27" s="44" t="n"/>
      <c r="I27" s="44" t="n"/>
    </row>
    <row r="28" ht="18.75" customHeight="1">
      <c r="A28" s="45" t="inlineStr">
        <is>
          <t>1½</t>
        </is>
      </c>
      <c r="B28" s="44" t="inlineStr">
        <is>
          <t xml:space="preserve">efgU;krhy ,dq.k rkVkaph la[;k - </t>
        </is>
      </c>
      <c r="C28" s="44" t="n"/>
      <c r="D28" s="44" t="n"/>
      <c r="E28" s="59">
        <f>Sheet2!O29</f>
        <v/>
      </c>
      <c r="F28" s="93" t="n"/>
      <c r="G28" s="93" t="n"/>
      <c r="H28" s="44" t="n"/>
      <c r="I28" s="44" t="n"/>
    </row>
    <row r="29" ht="18.75" customHeight="1">
      <c r="A29" s="45" t="inlineStr">
        <is>
          <t>2½</t>
        </is>
      </c>
      <c r="B29" s="44" t="inlineStr">
        <is>
          <t xml:space="preserve">ba/ku o Hkkthikyk [kpZ dsysys vuqnku :- =      </t>
        </is>
      </c>
      <c r="C29" s="44" t="n"/>
      <c r="D29" s="44" t="n"/>
      <c r="E29" s="59">
        <f>Sheet2!O30</f>
        <v/>
      </c>
      <c r="F29" s="101">
        <f>Sheet2!P30</f>
        <v/>
      </c>
      <c r="G29" s="59">
        <f>Sheet2!Q30</f>
        <v/>
      </c>
      <c r="H29" s="95" t="inlineStr">
        <is>
          <t xml:space="preserve"> ¼rkVkaph la[;k ˣ nj½ </t>
        </is>
      </c>
      <c r="I29" s="44" t="n"/>
    </row>
    <row r="30" ht="19.5" customHeight="1">
      <c r="A30" s="45" t="n"/>
      <c r="B30" s="44" t="inlineStr">
        <is>
          <t xml:space="preserve">                                                                 ¼ 'kkluLrjko:u fuf'Pkr dssY;kuqlkj½</t>
        </is>
      </c>
      <c r="C30" s="44" t="n"/>
      <c r="D30" s="44" t="n"/>
      <c r="E30" s="44" t="n"/>
      <c r="F30" s="44" t="n"/>
      <c r="G30" s="44" t="n"/>
      <c r="H30" s="44" t="n"/>
      <c r="I30" s="44" t="n"/>
    </row>
    <row r="31" ht="20.25" customHeight="1">
      <c r="A31" s="45" t="inlineStr">
        <is>
          <t>3½</t>
        </is>
      </c>
      <c r="B31" s="44" t="inlineStr">
        <is>
          <t>Lo;aikdh rFkk enruhl eku/ku :- 2500 /- (:- 2500 ˣ  useysys Lo;aikdh rFkk enruhl la[;k)</t>
        </is>
      </c>
      <c r="C31" s="44" t="n"/>
      <c r="D31" s="44" t="n"/>
      <c r="E31" s="44" t="n"/>
      <c r="F31" s="44" t="n"/>
      <c r="G31" s="44" t="n"/>
      <c r="H31" s="44" t="n"/>
      <c r="I31" s="44" t="n"/>
    </row>
    <row r="32" ht="18.75" customHeight="1">
      <c r="A32" s="44" t="n"/>
      <c r="B32" s="46" t="inlineStr">
        <is>
          <t>izekf.kr dj.;kr ;srs dh] oj ueqn dsysyh ekfgrh nSuafnu uksanogho:u ?ksrysyh vkgs- rh riklyh vkgs o cjkscj vkgs-</t>
        </is>
      </c>
      <c r="C32" s="44" t="n"/>
      <c r="D32" s="44" t="n"/>
      <c r="E32" s="44" t="n"/>
      <c r="F32" s="44" t="n"/>
      <c r="G32" s="44" t="n"/>
      <c r="H32" s="44" t="n"/>
      <c r="I32" s="44" t="n"/>
    </row>
    <row r="33" ht="18.75" customHeight="1">
      <c r="A33" s="44" t="n"/>
      <c r="B33" s="46" t="n"/>
      <c r="C33" s="44" t="n"/>
      <c r="D33" s="44" t="n"/>
      <c r="E33" s="44" t="n"/>
      <c r="F33" s="44" t="n"/>
      <c r="G33" s="44" t="n"/>
      <c r="H33" s="44" t="n"/>
      <c r="I33" s="44" t="n"/>
    </row>
    <row r="34" ht="18.75" customHeight="1">
      <c r="A34" s="47" t="n"/>
      <c r="B34" s="47" t="n"/>
      <c r="C34" s="47" t="n"/>
      <c r="D34" s="47" t="inlineStr">
        <is>
          <t xml:space="preserve">       eq[;k/;klfidk@lfpo</t>
        </is>
      </c>
      <c r="E34" s="47" t="n"/>
      <c r="F34" s="47" t="n"/>
      <c r="G34" s="48" t="inlineStr">
        <is>
          <t xml:space="preserve">            dsanz izeq[k</t>
        </is>
      </c>
      <c r="H34" s="47" t="n"/>
      <c r="I34" s="47" t="n"/>
    </row>
    <row r="35" ht="18.75" customHeight="1">
      <c r="A35" s="47" t="n"/>
      <c r="B35" s="45" t="inlineStr">
        <is>
          <t>fnukad</t>
        </is>
      </c>
      <c r="C35" s="127" t="inlineStr">
        <is>
          <t>30-04-2026</t>
        </is>
      </c>
      <c r="D35" s="48" t="inlineStr">
        <is>
          <t xml:space="preserve">     'kkys; O;oLFkkiu lferh</t>
        </is>
      </c>
      <c r="E35" s="47" t="n"/>
      <c r="F35" s="47" t="n"/>
      <c r="G35" s="48" t="inlineStr">
        <is>
          <t xml:space="preserve">              varksjk</t>
        </is>
      </c>
      <c r="H35" s="47" t="n"/>
      <c r="I35" s="47" t="n"/>
    </row>
  </sheetData>
  <mergeCells count="14">
    <mergeCell ref="D21:F21"/>
    <mergeCell ref="A5:D5"/>
    <mergeCell ref="E6:F6"/>
    <mergeCell ref="A8:D8"/>
    <mergeCell ref="A6:D6"/>
    <mergeCell ref="E7:F7"/>
    <mergeCell ref="G6:H7"/>
    <mergeCell ref="G5:H5"/>
    <mergeCell ref="E5:F5"/>
    <mergeCell ref="I12:I25"/>
    <mergeCell ref="I6:I7"/>
    <mergeCell ref="A7:D7"/>
    <mergeCell ref="G8:H8"/>
    <mergeCell ref="E8:F8"/>
  </mergeCells>
  <pageMargins left="0.44" right="0.16" top="0.19" bottom="0.16" header="0.21" footer="0.16"/>
  <pageSetup orientation="portrait" paperSize="9" scale="95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Krishna</dc:creator>
  <dcterms:created xsi:type="dcterms:W3CDTF">2011-08-06T13:18:55Z</dcterms:created>
  <dcterms:modified xsi:type="dcterms:W3CDTF">2026-06-06T16:26:45Z</dcterms:modified>
  <cp:lastModifiedBy>sir</cp:lastModifiedBy>
  <cp:lastPrinted>2026-04-16T03:15:02Z</cp:lastPrinted>
</cp:coreProperties>
</file>